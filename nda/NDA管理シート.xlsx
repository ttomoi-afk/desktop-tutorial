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DA一覧" sheetId="1" state="visible" r:id="rId3"/>
    <sheet name="集計" sheetId="2" state="visible" r:id="rId4"/>
    <sheet name="使い方" sheetId="3" state="visible" r:id="rId5"/>
  </sheets>
  <definedNames>
    <definedName function="false" hidden="false" localSheetId="0" name="_xlnm.Print_Titles" vbProcedure="false">NDA一覧!$1:$1</definedName>
    <definedName function="false" hidden="true" localSheetId="0" name="_xlnm._FilterDatabase" vbProcedure="false">NDA一覧!$A$1:$L$151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WenQuanYi Zen Hei"/>
            <family val="2"/>
          </rPr>
          <t xml:space="preserve">契約の相手方。集計の「取引先（社数）」はこの名前で数えます。</t>
        </r>
      </text>
    </comment>
    <comment ref="B1" authorId="0">
      <text>
        <r>
          <rPr>
            <sz val="10"/>
            <rFont val="Arial"/>
            <family val="2"/>
          </rPr>
          <t xml:space="preserve">NDA</t>
        </r>
        <r>
          <rPr>
            <sz val="10"/>
            <rFont val="WenQuanYi Zen Hei"/>
            <family val="2"/>
          </rPr>
          <t xml:space="preserve">を締結した日。</t>
        </r>
        <r>
          <rPr>
            <sz val="10"/>
            <rFont val="Arial"/>
            <family val="2"/>
          </rPr>
          <t xml:space="preserve">yyyy/m/d </t>
        </r>
        <r>
          <rPr>
            <sz val="10"/>
            <rFont val="WenQuanYi Zen Hei"/>
            <family val="2"/>
          </rPr>
          <t xml:space="preserve">で入力してください。</t>
        </r>
      </text>
    </comment>
    <comment ref="C1" authorId="0">
      <text>
        <r>
          <rPr>
            <sz val="10"/>
            <rFont val="WenQuanYi Zen Hei"/>
            <family val="2"/>
          </rPr>
          <t xml:space="preserve">契約の満了日。自動更新や期限の定めがない場合は空欄のままで構いません。</t>
        </r>
      </text>
    </comment>
    <comment ref="D1" authorId="0">
      <text>
        <r>
          <rPr>
            <sz val="10"/>
            <rFont val="WenQuanYi Zen Hei"/>
            <family val="2"/>
          </rPr>
          <t xml:space="preserve">申し出がなければ延長される契約は「○」を選びます（状態は「自動更新」になります）。</t>
        </r>
      </text>
    </comment>
    <comment ref="E1" authorId="0">
      <text>
        <r>
          <rPr>
            <sz val="10"/>
            <rFont val="WenQuanYi Zen Hei"/>
            <family val="2"/>
          </rPr>
          <t xml:space="preserve">数式で自動判定します（有効／期限間近／期限切れ／自動更新／期限未設定）。上書きしないでください。</t>
        </r>
      </text>
    </comment>
    <comment ref="F1" authorId="0">
      <text>
        <r>
          <rPr>
            <sz val="10"/>
            <rFont val="WenQuanYi Zen Hei"/>
            <family val="2"/>
          </rPr>
          <t xml:space="preserve">有効期限までの残り日数。数式で自動計算します。</t>
        </r>
      </text>
    </comment>
  </commentList>
</comments>
</file>

<file path=xl/sharedStrings.xml><?xml version="1.0" encoding="utf-8"?>
<sst xmlns="http://schemas.openxmlformats.org/spreadsheetml/2006/main" count="94" uniqueCount="90">
  <si>
    <t xml:space="preserve">企業名</t>
  </si>
  <si>
    <t xml:space="preserve">締結日</t>
  </si>
  <si>
    <t xml:space="preserve">有効期限</t>
  </si>
  <si>
    <t xml:space="preserve">自動更新</t>
  </si>
  <si>
    <t xml:space="preserve">状態</t>
  </si>
  <si>
    <t xml:space="preserve">残日数</t>
  </si>
  <si>
    <t xml:space="preserve">種別</t>
  </si>
  <si>
    <t xml:space="preserve">目的・案件名</t>
  </si>
  <si>
    <t xml:space="preserve">自社担当</t>
  </si>
  <si>
    <t xml:space="preserve">先方窓口</t>
  </si>
  <si>
    <t xml:space="preserve">原本の保管先</t>
  </si>
  <si>
    <t xml:space="preserve">備考</t>
  </si>
  <si>
    <t xml:space="preserve">株式会社あおば商事</t>
  </si>
  <si>
    <t xml:space="preserve">相互</t>
  </si>
  <si>
    <t xml:space="preserve">共同キャンペーンの検討</t>
  </si>
  <si>
    <t xml:space="preserve">営業部 山田</t>
  </si>
  <si>
    <t xml:space="preserve">経営企画室 佐藤様</t>
  </si>
  <si>
    <r>
      <rPr>
        <sz val="10.5"/>
        <color rgb="FF1F2A24"/>
        <rFont val="WenQuanYi Zen Hei"/>
        <family val="2"/>
      </rPr>
      <t xml:space="preserve">共有ドライブ </t>
    </r>
    <r>
      <rPr>
        <sz val="10.5"/>
        <color rgb="FF1F2A24"/>
        <rFont val="Meiryo"/>
        <family val="0"/>
        <charset val="1"/>
      </rPr>
      <t xml:space="preserve">&gt; </t>
    </r>
    <r>
      <rPr>
        <sz val="10.5"/>
        <color rgb="FF1F2A24"/>
        <rFont val="WenQuanYi Zen Hei"/>
        <family val="2"/>
      </rPr>
      <t xml:space="preserve">法務 </t>
    </r>
    <r>
      <rPr>
        <sz val="10.5"/>
        <color rgb="FF1F2A24"/>
        <rFont val="Meiryo"/>
        <family val="0"/>
        <charset val="1"/>
      </rPr>
      <t xml:space="preserve">&gt; NDA</t>
    </r>
  </si>
  <si>
    <t xml:space="preserve">（記入例）この行は消してお使いください</t>
  </si>
  <si>
    <t xml:space="preserve">みなとテクノロジー株式会社</t>
  </si>
  <si>
    <t xml:space="preserve">○</t>
  </si>
  <si>
    <t xml:space="preserve">当社開示</t>
  </si>
  <si>
    <t xml:space="preserve">受発注システムの改修</t>
  </si>
  <si>
    <t xml:space="preserve">情報システム部 鈴木</t>
  </si>
  <si>
    <t xml:space="preserve">開発部 井上様</t>
  </si>
  <si>
    <r>
      <rPr>
        <sz val="10.5"/>
        <color rgb="FF1F2A24"/>
        <rFont val="WenQuanYi Zen Hei"/>
        <family val="2"/>
      </rPr>
      <t xml:space="preserve">法務キャビネット </t>
    </r>
    <r>
      <rPr>
        <sz val="10.5"/>
        <color rgb="FF1F2A24"/>
        <rFont val="Meiryo"/>
        <family val="0"/>
        <charset val="1"/>
      </rPr>
      <t xml:space="preserve">B-3</t>
    </r>
  </si>
  <si>
    <t xml:space="preserve">（記入例）自動更新の契約は有効期限を空欄に</t>
  </si>
  <si>
    <r>
      <rPr>
        <b val="true"/>
        <sz val="16"/>
        <color rgb="FF23825A"/>
        <rFont val="Meiryo"/>
        <family val="0"/>
        <charset val="1"/>
      </rPr>
      <t xml:space="preserve">NDA </t>
    </r>
    <r>
      <rPr>
        <b val="true"/>
        <sz val="16"/>
        <color rgb="FF23825A"/>
        <rFont val="WenQuanYi Zen Hei"/>
        <family val="2"/>
      </rPr>
      <t xml:space="preserve">集計</t>
    </r>
  </si>
  <si>
    <r>
      <rPr>
        <sz val="9.5"/>
        <color rgb="FF6B7A72"/>
        <rFont val="WenQuanYi Zen Hei"/>
        <family val="2"/>
      </rPr>
      <t xml:space="preserve">※ 数値はすべて「</t>
    </r>
    <r>
      <rPr>
        <sz val="9.5"/>
        <color rgb="FF6B7A72"/>
        <rFont val="Meiryo"/>
        <family val="0"/>
        <charset val="1"/>
      </rPr>
      <t xml:space="preserve">NDA</t>
    </r>
    <r>
      <rPr>
        <sz val="9.5"/>
        <color rgb="FF6B7A72"/>
        <rFont val="WenQuanYi Zen Hei"/>
        <family val="2"/>
      </rPr>
      <t xml:space="preserve">一覧」から自動集計しています。黄色いセルだけ書き換えてください。</t>
    </r>
  </si>
  <si>
    <t xml:space="preserve">「期限間近」とみなす残日数</t>
  </si>
  <si>
    <r>
      <rPr>
        <sz val="9.5"/>
        <color rgb="FF6B7A72"/>
        <rFont val="WenQuanYi Zen Hei"/>
        <family val="2"/>
      </rPr>
      <t xml:space="preserve">この日数以内に有効期限が来る契約を「期限間近」にします（既定 </t>
    </r>
    <r>
      <rPr>
        <sz val="9.5"/>
        <color rgb="FF6B7A72"/>
        <rFont val="Meiryo"/>
        <family val="0"/>
        <charset val="1"/>
      </rPr>
      <t xml:space="preserve">90</t>
    </r>
    <r>
      <rPr>
        <sz val="9.5"/>
        <color rgb="FF6B7A72"/>
        <rFont val="WenQuanYi Zen Hei"/>
        <family val="2"/>
      </rPr>
      <t xml:space="preserve">日）</t>
    </r>
  </si>
  <si>
    <t xml:space="preserve">件数</t>
  </si>
  <si>
    <t xml:space="preserve">登録件数</t>
  </si>
  <si>
    <r>
      <rPr>
        <sz val="9.5"/>
        <color rgb="FF6B7A72"/>
        <rFont val="WenQuanYi Zen Hei"/>
        <family val="2"/>
      </rPr>
      <t xml:space="preserve">「</t>
    </r>
    <r>
      <rPr>
        <sz val="9.5"/>
        <color rgb="FF6B7A72"/>
        <rFont val="Meiryo"/>
        <family val="0"/>
        <charset val="1"/>
      </rPr>
      <t xml:space="preserve">NDA</t>
    </r>
    <r>
      <rPr>
        <sz val="9.5"/>
        <color rgb="FF6B7A72"/>
        <rFont val="WenQuanYi Zen Hei"/>
        <family val="2"/>
      </rPr>
      <t xml:space="preserve">一覧」の企業名が入っている行数</t>
    </r>
  </si>
  <si>
    <t xml:space="preserve">取引先（社数）</t>
  </si>
  <si>
    <t xml:space="preserve">企業名の重複を除いた数</t>
  </si>
  <si>
    <t xml:space="preserve">今年の締結件数</t>
  </si>
  <si>
    <t xml:space="preserve">締結日が今年の契約</t>
  </si>
  <si>
    <t xml:space="preserve">状態別</t>
  </si>
  <si>
    <t xml:space="preserve">有効</t>
  </si>
  <si>
    <t xml:space="preserve">期限まで余裕がある契約</t>
  </si>
  <si>
    <t xml:space="preserve">期限間近</t>
  </si>
  <si>
    <t xml:space="preserve">更新・再締結の検討が必要</t>
  </si>
  <si>
    <t xml:space="preserve">期限切れ</t>
  </si>
  <si>
    <t xml:space="preserve">継続取引があるなら再締結が必要</t>
  </si>
  <si>
    <t xml:space="preserve">解約の申し出がなければ継続</t>
  </si>
  <si>
    <t xml:space="preserve">期限未設定</t>
  </si>
  <si>
    <t xml:space="preserve">有効期限の記入漏れがないか確認</t>
  </si>
  <si>
    <t xml:space="preserve">種別別</t>
  </si>
  <si>
    <t xml:space="preserve">先方開示</t>
  </si>
  <si>
    <t xml:space="preserve">次にやること</t>
  </si>
  <si>
    <r>
      <rPr>
        <sz val="10"/>
        <color rgb="FF1F2A24"/>
        <rFont val="WenQuanYi Zen Hei"/>
        <family val="2"/>
      </rPr>
      <t xml:space="preserve">「</t>
    </r>
    <r>
      <rPr>
        <sz val="10"/>
        <color rgb="FF1F2A24"/>
        <rFont val="Meiryo"/>
        <family val="0"/>
        <charset val="1"/>
      </rPr>
      <t xml:space="preserve">NDA</t>
    </r>
    <r>
      <rPr>
        <sz val="10"/>
        <color rgb="FF1F2A24"/>
        <rFont val="WenQuanYi Zen Hei"/>
        <family val="2"/>
      </rPr>
      <t xml:space="preserve">一覧」の「状態」列のフィルタで「期限間近」「期限切れ」を選ぶと、対応が必要な契約だけを一覧できます。</t>
    </r>
  </si>
  <si>
    <r>
      <rPr>
        <b val="true"/>
        <sz val="16"/>
        <color rgb="FF23825A"/>
        <rFont val="Meiryo"/>
        <family val="0"/>
        <charset val="1"/>
      </rPr>
      <t xml:space="preserve">NDA</t>
    </r>
    <r>
      <rPr>
        <b val="true"/>
        <sz val="16"/>
        <color rgb="FF23825A"/>
        <rFont val="WenQuanYi Zen Hei"/>
        <family val="2"/>
      </rPr>
      <t xml:space="preserve">管理シート — 使い方</t>
    </r>
  </si>
  <si>
    <r>
      <rPr>
        <sz val="10.5"/>
        <color rgb="FF6B7A72"/>
        <rFont val="WenQuanYi Zen Hei"/>
        <family val="2"/>
      </rPr>
      <t xml:space="preserve">秘密保持契約（</t>
    </r>
    <r>
      <rPr>
        <sz val="10.5"/>
        <color rgb="FF6B7A72"/>
        <rFont val="Meiryo"/>
        <family val="0"/>
        <charset val="1"/>
      </rPr>
      <t xml:space="preserve">NDA</t>
    </r>
    <r>
      <rPr>
        <sz val="10.5"/>
        <color rgb="FF6B7A72"/>
        <rFont val="WenQuanYi Zen Hei"/>
        <family val="2"/>
      </rPr>
      <t xml:space="preserve">）の企業名・締結日・有効期限を</t>
    </r>
    <r>
      <rPr>
        <sz val="10.5"/>
        <color rgb="FF6B7A72"/>
        <rFont val="Meiryo"/>
        <family val="0"/>
        <charset val="1"/>
      </rPr>
      <t xml:space="preserve">1</t>
    </r>
    <r>
      <rPr>
        <sz val="10.5"/>
        <color rgb="FF6B7A72"/>
        <rFont val="WenQuanYi Zen Hei"/>
        <family val="2"/>
      </rPr>
      <t xml:space="preserve">枚で管理します。</t>
    </r>
  </si>
  <si>
    <t xml:space="preserve">はじめに</t>
  </si>
  <si>
    <r>
      <rPr>
        <sz val="10.5"/>
        <color rgb="FF1F2A24"/>
        <rFont val="WenQuanYi Zen Hei"/>
        <family val="2"/>
      </rPr>
      <t xml:space="preserve">「</t>
    </r>
    <r>
      <rPr>
        <sz val="10.5"/>
        <color rgb="FF1F2A24"/>
        <rFont val="Meiryo"/>
        <family val="0"/>
        <charset val="1"/>
      </rPr>
      <t xml:space="preserve">NDA</t>
    </r>
    <r>
      <rPr>
        <sz val="10.5"/>
        <color rgb="FF1F2A24"/>
        <rFont val="WenQuanYi Zen Hei"/>
        <family val="2"/>
      </rPr>
      <t xml:space="preserve">一覧」の</t>
    </r>
    <r>
      <rPr>
        <sz val="10.5"/>
        <color rgb="FF1F2A24"/>
        <rFont val="Meiryo"/>
        <family val="0"/>
        <charset val="1"/>
      </rPr>
      <t xml:space="preserve">2</t>
    </r>
    <r>
      <rPr>
        <sz val="10.5"/>
        <color rgb="FF1F2A24"/>
        <rFont val="WenQuanYi Zen Hei"/>
        <family val="2"/>
      </rPr>
      <t xml:space="preserve">行目・</t>
    </r>
    <r>
      <rPr>
        <sz val="10.5"/>
        <color rgb="FF1F2A24"/>
        <rFont val="Meiryo"/>
        <family val="0"/>
        <charset val="1"/>
      </rPr>
      <t xml:space="preserve">3</t>
    </r>
    <r>
      <rPr>
        <sz val="10.5"/>
        <color rgb="FF1F2A24"/>
        <rFont val="WenQuanYi Zen Hei"/>
        <family val="2"/>
      </rPr>
      <t xml:space="preserve">行目は記入例です。行ごと削除してからお使いください。</t>
    </r>
  </si>
  <si>
    <t xml:space="preserve">入力する列</t>
  </si>
  <si>
    <r>
      <rPr>
        <sz val="10.5"/>
        <color rgb="FF1F2A24"/>
        <rFont val="Meiryo"/>
        <family val="0"/>
        <charset val="1"/>
      </rPr>
      <t xml:space="preserve">A </t>
    </r>
    <r>
      <rPr>
        <sz val="10.5"/>
        <color rgb="FF1F2A24"/>
        <rFont val="WenQuanYi Zen Hei"/>
        <family val="2"/>
      </rPr>
      <t xml:space="preserve">企業名 ／ </t>
    </r>
    <r>
      <rPr>
        <sz val="10.5"/>
        <color rgb="FF1F2A24"/>
        <rFont val="Meiryo"/>
        <family val="0"/>
        <charset val="1"/>
      </rPr>
      <t xml:space="preserve">B </t>
    </r>
    <r>
      <rPr>
        <sz val="10.5"/>
        <color rgb="FF1F2A24"/>
        <rFont val="WenQuanYi Zen Hei"/>
        <family val="2"/>
      </rPr>
      <t xml:space="preserve">締結日 ／ </t>
    </r>
    <r>
      <rPr>
        <sz val="10.5"/>
        <color rgb="FF1F2A24"/>
        <rFont val="Meiryo"/>
        <family val="0"/>
        <charset val="1"/>
      </rPr>
      <t xml:space="preserve">C </t>
    </r>
    <r>
      <rPr>
        <sz val="10.5"/>
        <color rgb="FF1F2A24"/>
        <rFont val="WenQuanYi Zen Hei"/>
        <family val="2"/>
      </rPr>
      <t xml:space="preserve">有効期限 ／ </t>
    </r>
    <r>
      <rPr>
        <sz val="10.5"/>
        <color rgb="FF1F2A24"/>
        <rFont val="Meiryo"/>
        <family val="0"/>
        <charset val="1"/>
      </rPr>
      <t xml:space="preserve">D </t>
    </r>
    <r>
      <rPr>
        <sz val="10.5"/>
        <color rgb="FF1F2A24"/>
        <rFont val="WenQuanYi Zen Hei"/>
        <family val="2"/>
      </rPr>
      <t xml:space="preserve">自動更新 ／ </t>
    </r>
    <r>
      <rPr>
        <sz val="10.5"/>
        <color rgb="FF1F2A24"/>
        <rFont val="Meiryo"/>
        <family val="0"/>
        <charset val="1"/>
      </rPr>
      <t xml:space="preserve">G </t>
    </r>
    <r>
      <rPr>
        <sz val="10.5"/>
        <color rgb="FF1F2A24"/>
        <rFont val="WenQuanYi Zen Hei"/>
        <family val="2"/>
      </rPr>
      <t xml:space="preserve">種別 ／ </t>
    </r>
    <r>
      <rPr>
        <sz val="10.5"/>
        <color rgb="FF1F2A24"/>
        <rFont val="Meiryo"/>
        <family val="0"/>
        <charset val="1"/>
      </rPr>
      <t xml:space="preserve">H </t>
    </r>
    <r>
      <rPr>
        <sz val="10.5"/>
        <color rgb="FF1F2A24"/>
        <rFont val="WenQuanYi Zen Hei"/>
        <family val="2"/>
      </rPr>
      <t xml:space="preserve">目的・案件名 ／ </t>
    </r>
    <r>
      <rPr>
        <sz val="10.5"/>
        <color rgb="FF1F2A24"/>
        <rFont val="Meiryo"/>
        <family val="0"/>
        <charset val="1"/>
      </rPr>
      <t xml:space="preserve">I </t>
    </r>
    <r>
      <rPr>
        <sz val="10.5"/>
        <color rgb="FF1F2A24"/>
        <rFont val="WenQuanYi Zen Hei"/>
        <family val="2"/>
      </rPr>
      <t xml:space="preserve">自社担当 ／ </t>
    </r>
    <r>
      <rPr>
        <sz val="10.5"/>
        <color rgb="FF1F2A24"/>
        <rFont val="Meiryo"/>
        <family val="0"/>
        <charset val="1"/>
      </rPr>
      <t xml:space="preserve">J </t>
    </r>
    <r>
      <rPr>
        <sz val="10.5"/>
        <color rgb="FF1F2A24"/>
        <rFont val="WenQuanYi Zen Hei"/>
        <family val="2"/>
      </rPr>
      <t xml:space="preserve">先方窓口 ／ </t>
    </r>
    <r>
      <rPr>
        <sz val="10.5"/>
        <color rgb="FF1F2A24"/>
        <rFont val="Meiryo"/>
        <family val="0"/>
        <charset val="1"/>
      </rPr>
      <t xml:space="preserve">K </t>
    </r>
    <r>
      <rPr>
        <sz val="10.5"/>
        <color rgb="FF1F2A24"/>
        <rFont val="WenQuanYi Zen Hei"/>
        <family val="2"/>
      </rPr>
      <t xml:space="preserve">原本の保管先 ／ </t>
    </r>
    <r>
      <rPr>
        <sz val="10.5"/>
        <color rgb="FF1F2A24"/>
        <rFont val="Meiryo"/>
        <family val="0"/>
        <charset val="1"/>
      </rPr>
      <t xml:space="preserve">L </t>
    </r>
    <r>
      <rPr>
        <sz val="10.5"/>
        <color rgb="FF1F2A24"/>
        <rFont val="WenQuanYi Zen Hei"/>
        <family val="2"/>
      </rPr>
      <t xml:space="preserve">備考</t>
    </r>
  </si>
  <si>
    <t xml:space="preserve">触らない列</t>
  </si>
  <si>
    <r>
      <rPr>
        <sz val="10.5"/>
        <color rgb="FF1F2A24"/>
        <rFont val="Meiryo"/>
        <family val="0"/>
        <charset val="1"/>
      </rPr>
      <t xml:space="preserve">E </t>
    </r>
    <r>
      <rPr>
        <sz val="10.5"/>
        <color rgb="FF1F2A24"/>
        <rFont val="WenQuanYi Zen Hei"/>
        <family val="2"/>
      </rPr>
      <t xml:space="preserve">状態 と </t>
    </r>
    <r>
      <rPr>
        <sz val="10.5"/>
        <color rgb="FF1F2A24"/>
        <rFont val="Meiryo"/>
        <family val="0"/>
        <charset val="1"/>
      </rPr>
      <t xml:space="preserve">F </t>
    </r>
    <r>
      <rPr>
        <sz val="10.5"/>
        <color rgb="FF1F2A24"/>
        <rFont val="WenQuanYi Zen Hei"/>
        <family val="2"/>
      </rPr>
      <t xml:space="preserve">残日数 は数式です。書き換えると自動判定が止まります（</t>
    </r>
    <r>
      <rPr>
        <sz val="10.5"/>
        <color rgb="FF1F2A24"/>
        <rFont val="Meiryo"/>
        <family val="0"/>
        <charset val="1"/>
      </rPr>
      <t xml:space="preserve">151</t>
    </r>
    <r>
      <rPr>
        <sz val="10.5"/>
        <color rgb="FF1F2A24"/>
        <rFont val="WenQuanYi Zen Hei"/>
        <family val="2"/>
      </rPr>
      <t xml:space="preserve">行目まで数式を入れてあります）。</t>
    </r>
  </si>
  <si>
    <t xml:space="preserve">必須</t>
  </si>
  <si>
    <r>
      <rPr>
        <sz val="10.5"/>
        <color rgb="FF1F2A24"/>
        <rFont val="Meiryo"/>
        <family val="0"/>
        <charset val="1"/>
      </rPr>
      <t xml:space="preserve">A </t>
    </r>
    <r>
      <rPr>
        <sz val="10.5"/>
        <color rgb="FF1F2A24"/>
        <rFont val="WenQuanYi Zen Hei"/>
        <family val="2"/>
      </rPr>
      <t xml:space="preserve">企業名 と </t>
    </r>
    <r>
      <rPr>
        <sz val="10.5"/>
        <color rgb="FF1F2A24"/>
        <rFont val="Meiryo"/>
        <family val="0"/>
        <charset val="1"/>
      </rPr>
      <t xml:space="preserve">B </t>
    </r>
    <r>
      <rPr>
        <sz val="10.5"/>
        <color rgb="FF1F2A24"/>
        <rFont val="WenQuanYi Zen Hei"/>
        <family val="2"/>
      </rPr>
      <t xml:space="preserve">締結日。この</t>
    </r>
    <r>
      <rPr>
        <sz val="10.5"/>
        <color rgb="FF1F2A24"/>
        <rFont val="Meiryo"/>
        <family val="0"/>
        <charset val="1"/>
      </rPr>
      <t xml:space="preserve">2</t>
    </r>
    <r>
      <rPr>
        <sz val="10.5"/>
        <color rgb="FF1F2A24"/>
        <rFont val="WenQuanYi Zen Hei"/>
        <family val="2"/>
      </rPr>
      <t xml:space="preserve">つが入っていれば集計と状態判定が動きます。</t>
    </r>
  </si>
  <si>
    <t xml:space="preserve">日付の入れ方</t>
  </si>
  <si>
    <r>
      <rPr>
        <sz val="10.5"/>
        <color rgb="FF1F2A24"/>
        <rFont val="Meiryo"/>
        <family val="0"/>
        <charset val="1"/>
      </rPr>
      <t xml:space="preserve">2026/4/1 </t>
    </r>
    <r>
      <rPr>
        <sz val="10.5"/>
        <color rgb="FF1F2A24"/>
        <rFont val="WenQuanYi Zen Hei"/>
        <family val="2"/>
      </rPr>
      <t xml:space="preserve">のように入力します。</t>
    </r>
    <r>
      <rPr>
        <sz val="10.5"/>
        <color rgb="FF1F2A24"/>
        <rFont val="Meiryo"/>
        <family val="0"/>
        <charset val="1"/>
      </rPr>
      <t xml:space="preserve">C </t>
    </r>
    <r>
      <rPr>
        <sz val="10.5"/>
        <color rgb="FF1F2A24"/>
        <rFont val="WenQuanYi Zen Hei"/>
        <family val="2"/>
      </rPr>
      <t xml:space="preserve">有効期限は、自動更新や期限の定めがない契約では空欄で構いません。</t>
    </r>
  </si>
  <si>
    <r>
      <rPr>
        <sz val="10.5"/>
        <color rgb="FF1F2A24"/>
        <rFont val="Meiryo"/>
        <family val="0"/>
        <charset val="1"/>
      </rPr>
      <t xml:space="preserve">D</t>
    </r>
    <r>
      <rPr>
        <sz val="10.5"/>
        <color rgb="FF1F2A24"/>
        <rFont val="WenQuanYi Zen Hei"/>
        <family val="2"/>
      </rPr>
      <t xml:space="preserve">列で「○」を選ぶと状態は常に「自動更新」になります（期限切れの警告を出しません）。</t>
    </r>
  </si>
  <si>
    <t xml:space="preserve">状態の意味</t>
  </si>
  <si>
    <r>
      <rPr>
        <sz val="10.5"/>
        <color rgb="FF1F2A24"/>
        <rFont val="WenQuanYi Zen Hei"/>
        <family val="2"/>
      </rPr>
      <t xml:space="preserve">有効＝期限まで余裕あり ／ 期限間近＝集計シート</t>
    </r>
    <r>
      <rPr>
        <sz val="10.5"/>
        <color rgb="FF1F2A24"/>
        <rFont val="Meiryo"/>
        <family val="0"/>
        <charset val="1"/>
      </rPr>
      <t xml:space="preserve">B3</t>
    </r>
    <r>
      <rPr>
        <sz val="10.5"/>
        <color rgb="FF1F2A24"/>
        <rFont val="WenQuanYi Zen Hei"/>
        <family val="2"/>
      </rPr>
      <t xml:space="preserve">で決めた日数以内（既定</t>
    </r>
    <r>
      <rPr>
        <sz val="10.5"/>
        <color rgb="FF1F2A24"/>
        <rFont val="Meiryo"/>
        <family val="0"/>
        <charset val="1"/>
      </rPr>
      <t xml:space="preserve">90</t>
    </r>
    <r>
      <rPr>
        <sz val="10.5"/>
        <color rgb="FF1F2A24"/>
        <rFont val="WenQuanYi Zen Hei"/>
        <family val="2"/>
      </rPr>
      <t xml:space="preserve">日・オレンジ） ／ 期限切れ＝赤 ／ 自動更新＝青 ／ 期限未設定＝有効期限が空欄</t>
    </r>
  </si>
  <si>
    <t xml:space="preserve">色</t>
  </si>
  <si>
    <t xml:space="preserve">行の色は状態から自動でつきます。塗りつぶしを手で変える必要はありません。</t>
  </si>
  <si>
    <t xml:space="preserve">並べ替え・絞り込み</t>
  </si>
  <si>
    <r>
      <rPr>
        <sz val="10.5"/>
        <color rgb="FF1F2A24"/>
        <rFont val="Meiryo"/>
        <family val="0"/>
        <charset val="1"/>
      </rPr>
      <t xml:space="preserve">1</t>
    </r>
    <r>
      <rPr>
        <sz val="10.5"/>
        <color rgb="FF1F2A24"/>
        <rFont val="WenQuanYi Zen Hei"/>
        <family val="2"/>
      </rPr>
      <t xml:space="preserve">行目の▼（フィルタ）から。期限が近い順に見るときは </t>
    </r>
    <r>
      <rPr>
        <sz val="10.5"/>
        <color rgb="FF1F2A24"/>
        <rFont val="Meiryo"/>
        <family val="0"/>
        <charset val="1"/>
      </rPr>
      <t xml:space="preserve">C </t>
    </r>
    <r>
      <rPr>
        <sz val="10.5"/>
        <color rgb="FF1F2A24"/>
        <rFont val="WenQuanYi Zen Hei"/>
        <family val="2"/>
      </rPr>
      <t xml:space="preserve">有効期限 で昇順、直近の締結を見るときは </t>
    </r>
    <r>
      <rPr>
        <sz val="10.5"/>
        <color rgb="FF1F2A24"/>
        <rFont val="Meiryo"/>
        <family val="0"/>
        <charset val="1"/>
      </rPr>
      <t xml:space="preserve">B </t>
    </r>
    <r>
      <rPr>
        <sz val="10.5"/>
        <color rgb="FF1F2A24"/>
        <rFont val="WenQuanYi Zen Hei"/>
        <family val="2"/>
      </rPr>
      <t xml:space="preserve">締結日 で降順。</t>
    </r>
  </si>
  <si>
    <t xml:space="preserve">行を増やすには</t>
  </si>
  <si>
    <r>
      <rPr>
        <sz val="10.5"/>
        <color rgb="FF1F2A24"/>
        <rFont val="Meiryo"/>
        <family val="0"/>
        <charset val="1"/>
      </rPr>
      <t xml:space="preserve">151</t>
    </r>
    <r>
      <rPr>
        <sz val="10.5"/>
        <color rgb="FF1F2A24"/>
        <rFont val="WenQuanYi Zen Hei"/>
        <family val="2"/>
      </rPr>
      <t xml:space="preserve">行目より下に足すときは、</t>
    </r>
    <r>
      <rPr>
        <sz val="10.5"/>
        <color rgb="FF1F2A24"/>
        <rFont val="Meiryo"/>
        <family val="0"/>
        <charset val="1"/>
      </rPr>
      <t xml:space="preserve">151</t>
    </r>
    <r>
      <rPr>
        <sz val="10.5"/>
        <color rgb="FF1F2A24"/>
        <rFont val="WenQuanYi Zen Hei"/>
        <family val="2"/>
      </rPr>
      <t xml:space="preserve">行目をコピーして貼り付けると </t>
    </r>
    <r>
      <rPr>
        <sz val="10.5"/>
        <color rgb="FF1F2A24"/>
        <rFont val="Meiryo"/>
        <family val="0"/>
        <charset val="1"/>
      </rPr>
      <t xml:space="preserve">E</t>
    </r>
    <r>
      <rPr>
        <sz val="10.5"/>
        <color rgb="FF1F2A24"/>
        <rFont val="WenQuanYi Zen Hei"/>
        <family val="2"/>
      </rPr>
      <t xml:space="preserve">・</t>
    </r>
    <r>
      <rPr>
        <sz val="10.5"/>
        <color rgb="FF1F2A24"/>
        <rFont val="Meiryo"/>
        <family val="0"/>
        <charset val="1"/>
      </rPr>
      <t xml:space="preserve">F </t>
    </r>
    <r>
      <rPr>
        <sz val="10.5"/>
        <color rgb="FF1F2A24"/>
        <rFont val="WenQuanYi Zen Hei"/>
        <family val="2"/>
      </rPr>
      <t xml:space="preserve">の数式と書式がそのまま入ります。集計シートの参照範囲も広げてください。</t>
    </r>
  </si>
  <si>
    <t xml:space="preserve">印刷</t>
  </si>
  <si>
    <r>
      <rPr>
        <sz val="10.5"/>
        <color rgb="FF1F2A24"/>
        <rFont val="WenQuanYi Zen Hei"/>
        <family val="2"/>
      </rPr>
      <t xml:space="preserve">「</t>
    </r>
    <r>
      <rPr>
        <sz val="10.5"/>
        <color rgb="FF1F2A24"/>
        <rFont val="Meiryo"/>
        <family val="0"/>
        <charset val="1"/>
      </rPr>
      <t xml:space="preserve">NDA</t>
    </r>
    <r>
      <rPr>
        <sz val="10.5"/>
        <color rgb="FF1F2A24"/>
        <rFont val="WenQuanYi Zen Hei"/>
        <family val="2"/>
      </rPr>
      <t xml:space="preserve">一覧」は横向き・幅</t>
    </r>
    <r>
      <rPr>
        <sz val="10.5"/>
        <color rgb="FF1F2A24"/>
        <rFont val="Meiryo"/>
        <family val="0"/>
        <charset val="1"/>
      </rPr>
      <t xml:space="preserve">1</t>
    </r>
    <r>
      <rPr>
        <sz val="10.5"/>
        <color rgb="FF1F2A24"/>
        <rFont val="WenQuanYi Zen Hei"/>
        <family val="2"/>
      </rPr>
      <t xml:space="preserve">ページ・見出し行の繰り返しを設定済みです。空行まで印刷されるので、フィルタで必要な行に絞ってから印刷するときれいに収まります。</t>
    </r>
  </si>
  <si>
    <r>
      <rPr>
        <b val="true"/>
        <sz val="10.5"/>
        <color rgb="FF23825A"/>
        <rFont val="Meiryo"/>
        <family val="0"/>
        <charset val="1"/>
      </rPr>
      <t xml:space="preserve">Web</t>
    </r>
    <r>
      <rPr>
        <b val="true"/>
        <sz val="10.5"/>
        <color rgb="FF23825A"/>
        <rFont val="WenQuanYi Zen Hei"/>
        <family val="2"/>
      </rPr>
      <t xml:space="preserve">アプリと共通</t>
    </r>
  </si>
  <si>
    <r>
      <rPr>
        <sz val="10.5"/>
        <color rgb="FF1F2A24"/>
        <rFont val="WenQuanYi Zen Hei"/>
        <family val="2"/>
      </rPr>
      <t xml:space="preserve">同じ項目の</t>
    </r>
    <r>
      <rPr>
        <sz val="10.5"/>
        <color rgb="FF1F2A24"/>
        <rFont val="Meiryo"/>
        <family val="0"/>
        <charset val="1"/>
      </rPr>
      <t xml:space="preserve">Web</t>
    </r>
    <r>
      <rPr>
        <sz val="10.5"/>
        <color rgb="FF1F2A24"/>
        <rFont val="WenQuanYi Zen Hei"/>
        <family val="2"/>
      </rPr>
      <t xml:space="preserve">版（このリポジトリの </t>
    </r>
    <r>
      <rPr>
        <sz val="10.5"/>
        <color rgb="FF1F2A24"/>
        <rFont val="Meiryo"/>
        <family val="0"/>
        <charset val="1"/>
      </rPr>
      <t xml:space="preserve">nda/</t>
    </r>
    <r>
      <rPr>
        <sz val="10.5"/>
        <color rgb="FF1F2A24"/>
        <rFont val="WenQuanYi Zen Hei"/>
        <family val="2"/>
      </rPr>
      <t xml:space="preserve">）があります。</t>
    </r>
    <r>
      <rPr>
        <sz val="10.5"/>
        <color rgb="FF1F2A24"/>
        <rFont val="Meiryo"/>
        <family val="0"/>
        <charset val="1"/>
      </rPr>
      <t xml:space="preserve">Excel</t>
    </r>
    <r>
      <rPr>
        <sz val="10.5"/>
        <color rgb="FF1F2A24"/>
        <rFont val="WenQuanYi Zen Hei"/>
        <family val="2"/>
      </rPr>
      <t xml:space="preserve">を「</t>
    </r>
    <r>
      <rPr>
        <sz val="10.5"/>
        <color rgb="FF1F2A24"/>
        <rFont val="Meiryo"/>
        <family val="0"/>
        <charset val="1"/>
      </rPr>
      <t xml:space="preserve">CSV UTF-8</t>
    </r>
    <r>
      <rPr>
        <sz val="10.5"/>
        <color rgb="FF1F2A24"/>
        <rFont val="WenQuanYi Zen Hei"/>
        <family val="2"/>
      </rPr>
      <t xml:space="preserve">」で保存すると、そのまま</t>
    </r>
    <r>
      <rPr>
        <sz val="10.5"/>
        <color rgb="FF1F2A24"/>
        <rFont val="Meiryo"/>
        <family val="0"/>
        <charset val="1"/>
      </rPr>
      <t xml:space="preserve">Web</t>
    </r>
    <r>
      <rPr>
        <sz val="10.5"/>
        <color rgb="FF1F2A24"/>
        <rFont val="WenQuanYi Zen Hei"/>
        <family val="2"/>
      </rPr>
      <t xml:space="preserve">版に読み込めます。</t>
    </r>
  </si>
  <si>
    <t xml:space="preserve">運用のコツ</t>
  </si>
  <si>
    <t xml:space="preserve">月に一度、集計シートの「期限間近」「期限切れ」の件数を見て、更新・再締結の要否を確認してください。</t>
  </si>
  <si>
    <t xml:space="preserve">凡例</t>
  </si>
  <si>
    <t xml:space="preserve">入力するセル</t>
  </si>
  <si>
    <t xml:space="preserve">白い背景のセル</t>
  </si>
  <si>
    <t xml:space="preserve">設定するセル</t>
  </si>
  <si>
    <r>
      <rPr>
        <sz val="10.5"/>
        <color rgb="FF6B7A72"/>
        <rFont val="WenQuanYi Zen Hei"/>
        <family val="2"/>
      </rPr>
      <t xml:space="preserve">黄色いセル（集計シート </t>
    </r>
    <r>
      <rPr>
        <sz val="10.5"/>
        <color rgb="FF6B7A72"/>
        <rFont val="Meiryo"/>
        <family val="0"/>
        <charset val="1"/>
      </rPr>
      <t xml:space="preserve">B3 </t>
    </r>
    <r>
      <rPr>
        <sz val="10.5"/>
        <color rgb="FF6B7A72"/>
        <rFont val="WenQuanYi Zen Hei"/>
        <family val="2"/>
      </rPr>
      <t xml:space="preserve">の日数）</t>
    </r>
  </si>
  <si>
    <t xml:space="preserve">期限切れの行</t>
  </si>
  <si>
    <t xml:space="preserve">赤い背景</t>
  </si>
  <si>
    <t xml:space="preserve">期限間近の行</t>
  </si>
  <si>
    <t xml:space="preserve">オレンジの背景</t>
  </si>
  <si>
    <t xml:space="preserve">自動更新の行</t>
  </si>
  <si>
    <t xml:space="preserve">青い背景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</si>
</sst>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0\日;0&quot;日超過&quot;"/>
    <numFmt numFmtId="167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WenQuanYi Zen Hei"/>
      <family val="2"/>
    </font>
    <font>
      <sz val="10.5"/>
      <color rgb="FF1F2A24"/>
      <name val="WenQuanYi Zen Hei"/>
      <family val="2"/>
    </font>
    <font>
      <sz val="10.5"/>
      <color rgb="FF1F2A24"/>
      <name val="Meiryo"/>
      <family val="0"/>
      <charset val="1"/>
    </font>
    <font>
      <b val="true"/>
      <sz val="10.5"/>
      <color rgb="FF1F2A24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b val="true"/>
      <sz val="16"/>
      <color rgb="FF23825A"/>
      <name val="Meiryo"/>
      <family val="0"/>
      <charset val="1"/>
    </font>
    <font>
      <b val="true"/>
      <sz val="16"/>
      <color rgb="FF23825A"/>
      <name val="WenQuanYi Zen Hei"/>
      <family val="2"/>
    </font>
    <font>
      <sz val="9.5"/>
      <color rgb="FF6B7A72"/>
      <name val="WenQuanYi Zen Hei"/>
      <family val="2"/>
    </font>
    <font>
      <sz val="9.5"/>
      <color rgb="FF6B7A72"/>
      <name val="Meiryo"/>
      <family val="0"/>
      <charset val="1"/>
    </font>
    <font>
      <b val="true"/>
      <sz val="11"/>
      <color rgb="FF1F2A24"/>
      <name val="WenQuanYi Zen Hei"/>
      <family val="2"/>
    </font>
    <font>
      <b val="true"/>
      <sz val="11"/>
      <color rgb="FF0000FF"/>
      <name val="Meiryo"/>
      <family val="0"/>
      <charset val="1"/>
    </font>
    <font>
      <b val="true"/>
      <sz val="10.5"/>
      <color rgb="FF23825A"/>
      <name val="WenQuanYi Zen Hei"/>
      <family val="2"/>
    </font>
    <font>
      <sz val="11"/>
      <color rgb="FF1F2A24"/>
      <name val="WenQuanYi Zen Hei"/>
      <family val="2"/>
    </font>
    <font>
      <b val="true"/>
      <sz val="12"/>
      <color rgb="FF1F2A24"/>
      <name val="Meiryo"/>
      <family val="0"/>
      <charset val="1"/>
    </font>
    <font>
      <sz val="10"/>
      <color rgb="FF1F2A24"/>
      <name val="WenQuanYi Zen Hei"/>
      <family val="2"/>
    </font>
    <font>
      <sz val="10"/>
      <color rgb="FF1F2A24"/>
      <name val="Meiryo"/>
      <family val="0"/>
      <charset val="1"/>
    </font>
    <font>
      <sz val="10.5"/>
      <color rgb="FF6B7A72"/>
      <name val="WenQuanYi Zen Hei"/>
      <family val="2"/>
    </font>
    <font>
      <sz val="10.5"/>
      <color rgb="FF6B7A72"/>
      <name val="Meiryo"/>
      <family val="0"/>
      <charset val="1"/>
    </font>
    <font>
      <b val="true"/>
      <sz val="10.5"/>
      <color rgb="FF23825A"/>
      <name val="Meiryo"/>
      <family val="0"/>
      <charset val="1"/>
    </font>
    <font>
      <b val="true"/>
      <sz val="11"/>
      <color rgb="FF23825A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23825A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DF4E4"/>
      </patternFill>
    </fill>
    <fill>
      <patternFill patternType="solid">
        <fgColor rgb="FFFBECEB"/>
        <bgColor rgb="FFFDF4E4"/>
      </patternFill>
    </fill>
    <fill>
      <patternFill patternType="solid">
        <fgColor rgb="FFFDF4E4"/>
        <bgColor rgb="FFFBECEB"/>
      </patternFill>
    </fill>
    <fill>
      <patternFill patternType="solid">
        <fgColor rgb="FFEEF2FB"/>
        <bgColor rgb="FFFBEC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3E9E5"/>
      </left>
      <right style="thin">
        <color rgb="FFE3E9E5"/>
      </right>
      <top style="thin">
        <color rgb="FFE3E9E5"/>
      </top>
      <bottom style="thin">
        <color rgb="FFE3E9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3825A"/>
          <bgColor rgb="FF000000"/>
        </patternFill>
      </fill>
    </dxf>
    <dxf>
      <fill>
        <patternFill patternType="solid">
          <fgColor rgb="FFEEF2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2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Meiryo"/>
        <charset val="1"/>
        <family val="0"/>
        <color rgb="FFB3261E"/>
        <sz val="10"/>
      </font>
      <fill>
        <patternFill>
          <bgColor rgb="FFFBECEB"/>
        </patternFill>
      </fill>
    </dxf>
    <dxf>
      <font>
        <name val="Meiryo"/>
        <charset val="1"/>
        <family val="0"/>
        <color rgb="FFA85C06"/>
        <sz val="10"/>
      </font>
      <fill>
        <patternFill>
          <bgColor rgb="FFFDF4E4"/>
        </patternFill>
      </fill>
    </dxf>
    <dxf>
      <fill>
        <patternFill>
          <bgColor rgb="FFEEF2F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5C06"/>
      <rgbColor rgb="FF800080"/>
      <rgbColor rgb="FF008080"/>
      <rgbColor rgb="FFC0C0C0"/>
      <rgbColor rgb="FF6B7A72"/>
      <rgbColor rgb="FF9999FF"/>
      <rgbColor rgb="FF993366"/>
      <rgbColor rgb="FFFDF4E4"/>
      <rgbColor rgb="FFEE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CEB"/>
      <rgbColor rgb="FFE3E9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3825A"/>
      <rgbColor rgb="FF003300"/>
      <rgbColor rgb="FF333300"/>
      <rgbColor rgb="FFB3261E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7" min="5" style="0" width="11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9.5" hidden="false" customHeight="true" outlineLevel="0" collapsed="false">
      <c r="A2" s="2" t="s">
        <v>12</v>
      </c>
      <c r="B2" s="3" t="n">
        <v>45757</v>
      </c>
      <c r="C2" s="3" t="n">
        <v>46486</v>
      </c>
      <c r="D2" s="4"/>
      <c r="E2" s="5" t="str">
        <f aca="true">IF($A2="","",IF($D2="○","自動更新",IF($C2="","期限未設定",IF($C2&lt;TODAY(),"期限切れ",IF($C2-TODAY()&lt;=集計!$B$3,"期限間近","有効")))))</f>
        <v>有効</v>
      </c>
      <c r="F2" s="6" t="n">
        <f aca="true">IF(OR($A2="",$C2=""),"",IF(AND($D2="○",$C2&lt;TODAY()),"",$C2-TODAY()))</f>
        <v>220</v>
      </c>
      <c r="G2" s="7" t="s">
        <v>13</v>
      </c>
      <c r="H2" s="8" t="s">
        <v>14</v>
      </c>
      <c r="I2" s="2" t="s">
        <v>15</v>
      </c>
      <c r="J2" s="2" t="s">
        <v>16</v>
      </c>
      <c r="K2" s="8" t="s">
        <v>17</v>
      </c>
      <c r="L2" s="8" t="s">
        <v>18</v>
      </c>
    </row>
    <row r="3" customFormat="false" ht="19.5" hidden="false" customHeight="true" outlineLevel="0" collapsed="false">
      <c r="A3" s="2" t="s">
        <v>19</v>
      </c>
      <c r="B3" s="3" t="n">
        <v>46044</v>
      </c>
      <c r="C3" s="3"/>
      <c r="D3" s="4" t="s">
        <v>20</v>
      </c>
      <c r="E3" s="5" t="str">
        <f aca="true">IF($A3="","",IF($D3="○","自動更新",IF($C3="","期限未設定",IF($C3&lt;TODAY(),"期限切れ",IF($C3-TODAY()&lt;=集計!$B$3,"期限間近","有効")))))</f>
        <v>自動更新</v>
      </c>
      <c r="F3" s="6" t="str">
        <f aca="true">IF(OR($A3="",$C3=""),"",IF(AND($D3="○",$C3&lt;TODAY()),"",$C3-TODAY()))</f>
        <v/>
      </c>
      <c r="G3" s="7" t="s">
        <v>21</v>
      </c>
      <c r="H3" s="8" t="s">
        <v>22</v>
      </c>
      <c r="I3" s="2" t="s">
        <v>23</v>
      </c>
      <c r="J3" s="2" t="s">
        <v>24</v>
      </c>
      <c r="K3" s="8" t="s">
        <v>25</v>
      </c>
      <c r="L3" s="8" t="s">
        <v>26</v>
      </c>
    </row>
    <row r="4" customFormat="false" ht="19.5" hidden="false" customHeight="true" outlineLevel="0" collapsed="false">
      <c r="A4" s="2"/>
      <c r="B4" s="3"/>
      <c r="C4" s="3"/>
      <c r="D4" s="4"/>
      <c r="E4" s="5" t="str">
        <f aca="true">IF($A4="","",IF($D4="○","自動更新",IF($C4="","期限未設定",IF($C4&lt;TODAY(),"期限切れ",IF($C4-TODAY()&lt;=集計!$B$3,"期限間近","有効")))))</f>
        <v/>
      </c>
      <c r="F4" s="6" t="str">
        <f aca="true">IF(OR($A4="",$C4=""),"",IF(AND($D4="○",$C4&lt;TODAY()),"",$C4-TODAY()))</f>
        <v/>
      </c>
      <c r="G4" s="7"/>
      <c r="H4" s="8"/>
      <c r="I4" s="2"/>
      <c r="J4" s="2"/>
      <c r="K4" s="8"/>
      <c r="L4" s="8"/>
    </row>
    <row r="5" customFormat="false" ht="19.5" hidden="false" customHeight="true" outlineLevel="0" collapsed="false">
      <c r="A5" s="2"/>
      <c r="B5" s="3"/>
      <c r="C5" s="3"/>
      <c r="D5" s="4"/>
      <c r="E5" s="5" t="str">
        <f aca="true">IF($A5="","",IF($D5="○","自動更新",IF($C5="","期限未設定",IF($C5&lt;TODAY(),"期限切れ",IF($C5-TODAY()&lt;=集計!$B$3,"期限間近","有効")))))</f>
        <v/>
      </c>
      <c r="F5" s="6" t="str">
        <f aca="true">IF(OR($A5="",$C5=""),"",IF(AND($D5="○",$C5&lt;TODAY()),"",$C5-TODAY()))</f>
        <v/>
      </c>
      <c r="G5" s="7"/>
      <c r="H5" s="8"/>
      <c r="I5" s="2"/>
      <c r="J5" s="2"/>
      <c r="K5" s="8"/>
      <c r="L5" s="8"/>
    </row>
    <row r="6" customFormat="false" ht="19.5" hidden="false" customHeight="true" outlineLevel="0" collapsed="false">
      <c r="A6" s="2"/>
      <c r="B6" s="3"/>
      <c r="C6" s="3"/>
      <c r="D6" s="4"/>
      <c r="E6" s="5" t="str">
        <f aca="true">IF($A6="","",IF($D6="○","自動更新",IF($C6="","期限未設定",IF($C6&lt;TODAY(),"期限切れ",IF($C6-TODAY()&lt;=集計!$B$3,"期限間近","有効")))))</f>
        <v/>
      </c>
      <c r="F6" s="6" t="str">
        <f aca="true">IF(OR($A6="",$C6=""),"",IF(AND($D6="○",$C6&lt;TODAY()),"",$C6-TODAY()))</f>
        <v/>
      </c>
      <c r="G6" s="7"/>
      <c r="H6" s="8"/>
      <c r="I6" s="2"/>
      <c r="J6" s="2"/>
      <c r="K6" s="8"/>
      <c r="L6" s="8"/>
    </row>
    <row r="7" customFormat="false" ht="19.5" hidden="false" customHeight="true" outlineLevel="0" collapsed="false">
      <c r="A7" s="2"/>
      <c r="B7" s="3"/>
      <c r="C7" s="3"/>
      <c r="D7" s="4"/>
      <c r="E7" s="5" t="str">
        <f aca="true">IF($A7="","",IF($D7="○","自動更新",IF($C7="","期限未設定",IF($C7&lt;TODAY(),"期限切れ",IF($C7-TODAY()&lt;=集計!$B$3,"期限間近","有効")))))</f>
        <v/>
      </c>
      <c r="F7" s="6" t="str">
        <f aca="true">IF(OR($A7="",$C7=""),"",IF(AND($D7="○",$C7&lt;TODAY()),"",$C7-TODAY()))</f>
        <v/>
      </c>
      <c r="G7" s="7"/>
      <c r="H7" s="8"/>
      <c r="I7" s="2"/>
      <c r="J7" s="2"/>
      <c r="K7" s="8"/>
      <c r="L7" s="8"/>
    </row>
    <row r="8" customFormat="false" ht="19.5" hidden="false" customHeight="true" outlineLevel="0" collapsed="false">
      <c r="A8" s="2"/>
      <c r="B8" s="3"/>
      <c r="C8" s="3"/>
      <c r="D8" s="4"/>
      <c r="E8" s="5" t="str">
        <f aca="true">IF($A8="","",IF($D8="○","自動更新",IF($C8="","期限未設定",IF($C8&lt;TODAY(),"期限切れ",IF($C8-TODAY()&lt;=集計!$B$3,"期限間近","有効")))))</f>
        <v/>
      </c>
      <c r="F8" s="6" t="str">
        <f aca="true">IF(OR($A8="",$C8=""),"",IF(AND($D8="○",$C8&lt;TODAY()),"",$C8-TODAY()))</f>
        <v/>
      </c>
      <c r="G8" s="7"/>
      <c r="H8" s="8"/>
      <c r="I8" s="2"/>
      <c r="J8" s="2"/>
      <c r="K8" s="8"/>
      <c r="L8" s="8"/>
    </row>
    <row r="9" customFormat="false" ht="19.5" hidden="false" customHeight="true" outlineLevel="0" collapsed="false">
      <c r="A9" s="2"/>
      <c r="B9" s="3"/>
      <c r="C9" s="3"/>
      <c r="D9" s="4"/>
      <c r="E9" s="5" t="str">
        <f aca="true">IF($A9="","",IF($D9="○","自動更新",IF($C9="","期限未設定",IF($C9&lt;TODAY(),"期限切れ",IF($C9-TODAY()&lt;=集計!$B$3,"期限間近","有効")))))</f>
        <v/>
      </c>
      <c r="F9" s="6" t="str">
        <f aca="true">IF(OR($A9="",$C9=""),"",IF(AND($D9="○",$C9&lt;TODAY()),"",$C9-TODAY()))</f>
        <v/>
      </c>
      <c r="G9" s="7"/>
      <c r="H9" s="8"/>
      <c r="I9" s="2"/>
      <c r="J9" s="2"/>
      <c r="K9" s="8"/>
      <c r="L9" s="8"/>
    </row>
    <row r="10" customFormat="false" ht="19.5" hidden="false" customHeight="true" outlineLevel="0" collapsed="false">
      <c r="A10" s="2"/>
      <c r="B10" s="3"/>
      <c r="C10" s="3"/>
      <c r="D10" s="4"/>
      <c r="E10" s="5" t="str">
        <f aca="true">IF($A10="","",IF($D10="○","自動更新",IF($C10="","期限未設定",IF($C10&lt;TODAY(),"期限切れ",IF($C10-TODAY()&lt;=集計!$B$3,"期限間近","有効")))))</f>
        <v/>
      </c>
      <c r="F10" s="6" t="str">
        <f aca="true">IF(OR($A10="",$C10=""),"",IF(AND($D10="○",$C10&lt;TODAY()),"",$C10-TODAY()))</f>
        <v/>
      </c>
      <c r="G10" s="7"/>
      <c r="H10" s="8"/>
      <c r="I10" s="2"/>
      <c r="J10" s="2"/>
      <c r="K10" s="8"/>
      <c r="L10" s="8"/>
    </row>
    <row r="11" customFormat="false" ht="19.5" hidden="false" customHeight="true" outlineLevel="0" collapsed="false">
      <c r="A11" s="2"/>
      <c r="B11" s="3"/>
      <c r="C11" s="3"/>
      <c r="D11" s="4"/>
      <c r="E11" s="5" t="str">
        <f aca="true">IF($A11="","",IF($D11="○","自動更新",IF($C11="","期限未設定",IF($C11&lt;TODAY(),"期限切れ",IF($C11-TODAY()&lt;=集計!$B$3,"期限間近","有効")))))</f>
        <v/>
      </c>
      <c r="F11" s="6" t="str">
        <f aca="true">IF(OR($A11="",$C11=""),"",IF(AND($D11="○",$C11&lt;TODAY()),"",$C11-TODAY()))</f>
        <v/>
      </c>
      <c r="G11" s="7"/>
      <c r="H11" s="8"/>
      <c r="I11" s="2"/>
      <c r="J11" s="2"/>
      <c r="K11" s="8"/>
      <c r="L11" s="8"/>
    </row>
    <row r="12" customFormat="false" ht="19.5" hidden="false" customHeight="true" outlineLevel="0" collapsed="false">
      <c r="A12" s="2"/>
      <c r="B12" s="3"/>
      <c r="C12" s="3"/>
      <c r="D12" s="4"/>
      <c r="E12" s="5" t="str">
        <f aca="true">IF($A12="","",IF($D12="○","自動更新",IF($C12="","期限未設定",IF($C12&lt;TODAY(),"期限切れ",IF($C12-TODAY()&lt;=集計!$B$3,"期限間近","有効")))))</f>
        <v/>
      </c>
      <c r="F12" s="6" t="str">
        <f aca="true">IF(OR($A12="",$C12=""),"",IF(AND($D12="○",$C12&lt;TODAY()),"",$C12-TODAY()))</f>
        <v/>
      </c>
      <c r="G12" s="7"/>
      <c r="H12" s="8"/>
      <c r="I12" s="2"/>
      <c r="J12" s="2"/>
      <c r="K12" s="8"/>
      <c r="L12" s="8"/>
    </row>
    <row r="13" customFormat="false" ht="19.5" hidden="false" customHeight="true" outlineLevel="0" collapsed="false">
      <c r="A13" s="2"/>
      <c r="B13" s="3"/>
      <c r="C13" s="3"/>
      <c r="D13" s="4"/>
      <c r="E13" s="5" t="str">
        <f aca="true">IF($A13="","",IF($D13="○","自動更新",IF($C13="","期限未設定",IF($C13&lt;TODAY(),"期限切れ",IF($C13-TODAY()&lt;=集計!$B$3,"期限間近","有効")))))</f>
        <v/>
      </c>
      <c r="F13" s="6" t="str">
        <f aca="true">IF(OR($A13="",$C13=""),"",IF(AND($D13="○",$C13&lt;TODAY()),"",$C13-TODAY()))</f>
        <v/>
      </c>
      <c r="G13" s="7"/>
      <c r="H13" s="8"/>
      <c r="I13" s="2"/>
      <c r="J13" s="2"/>
      <c r="K13" s="8"/>
      <c r="L13" s="8"/>
    </row>
    <row r="14" customFormat="false" ht="19.5" hidden="false" customHeight="true" outlineLevel="0" collapsed="false">
      <c r="A14" s="2"/>
      <c r="B14" s="3"/>
      <c r="C14" s="3"/>
      <c r="D14" s="4"/>
      <c r="E14" s="5" t="str">
        <f aca="true">IF($A14="","",IF($D14="○","自動更新",IF($C14="","期限未設定",IF($C14&lt;TODAY(),"期限切れ",IF($C14-TODAY()&lt;=集計!$B$3,"期限間近","有効")))))</f>
        <v/>
      </c>
      <c r="F14" s="6" t="str">
        <f aca="true">IF(OR($A14="",$C14=""),"",IF(AND($D14="○",$C14&lt;TODAY()),"",$C14-TODAY()))</f>
        <v/>
      </c>
      <c r="G14" s="7"/>
      <c r="H14" s="8"/>
      <c r="I14" s="2"/>
      <c r="J14" s="2"/>
      <c r="K14" s="8"/>
      <c r="L14" s="8"/>
    </row>
    <row r="15" customFormat="false" ht="19.5" hidden="false" customHeight="true" outlineLevel="0" collapsed="false">
      <c r="A15" s="2"/>
      <c r="B15" s="3"/>
      <c r="C15" s="3"/>
      <c r="D15" s="4"/>
      <c r="E15" s="5" t="str">
        <f aca="true">IF($A15="","",IF($D15="○","自動更新",IF($C15="","期限未設定",IF($C15&lt;TODAY(),"期限切れ",IF($C15-TODAY()&lt;=集計!$B$3,"期限間近","有効")))))</f>
        <v/>
      </c>
      <c r="F15" s="6" t="str">
        <f aca="true">IF(OR($A15="",$C15=""),"",IF(AND($D15="○",$C15&lt;TODAY()),"",$C15-TODAY()))</f>
        <v/>
      </c>
      <c r="G15" s="7"/>
      <c r="H15" s="8"/>
      <c r="I15" s="2"/>
      <c r="J15" s="2"/>
      <c r="K15" s="8"/>
      <c r="L15" s="8"/>
    </row>
    <row r="16" customFormat="false" ht="19.5" hidden="false" customHeight="true" outlineLevel="0" collapsed="false">
      <c r="A16" s="2"/>
      <c r="B16" s="3"/>
      <c r="C16" s="3"/>
      <c r="D16" s="4"/>
      <c r="E16" s="5" t="str">
        <f aca="true">IF($A16="","",IF($D16="○","自動更新",IF($C16="","期限未設定",IF($C16&lt;TODAY(),"期限切れ",IF($C16-TODAY()&lt;=集計!$B$3,"期限間近","有効")))))</f>
        <v/>
      </c>
      <c r="F16" s="6" t="str">
        <f aca="true">IF(OR($A16="",$C16=""),"",IF(AND($D16="○",$C16&lt;TODAY()),"",$C16-TODAY()))</f>
        <v/>
      </c>
      <c r="G16" s="7"/>
      <c r="H16" s="8"/>
      <c r="I16" s="2"/>
      <c r="J16" s="2"/>
      <c r="K16" s="8"/>
      <c r="L16" s="8"/>
    </row>
    <row r="17" customFormat="false" ht="19.5" hidden="false" customHeight="true" outlineLevel="0" collapsed="false">
      <c r="A17" s="2"/>
      <c r="B17" s="3"/>
      <c r="C17" s="3"/>
      <c r="D17" s="4"/>
      <c r="E17" s="5" t="str">
        <f aca="true">IF($A17="","",IF($D17="○","自動更新",IF($C17="","期限未設定",IF($C17&lt;TODAY(),"期限切れ",IF($C17-TODAY()&lt;=集計!$B$3,"期限間近","有効")))))</f>
        <v/>
      </c>
      <c r="F17" s="6" t="str">
        <f aca="true">IF(OR($A17="",$C17=""),"",IF(AND($D17="○",$C17&lt;TODAY()),"",$C17-TODAY()))</f>
        <v/>
      </c>
      <c r="G17" s="7"/>
      <c r="H17" s="8"/>
      <c r="I17" s="2"/>
      <c r="J17" s="2"/>
      <c r="K17" s="8"/>
      <c r="L17" s="8"/>
    </row>
    <row r="18" customFormat="false" ht="19.5" hidden="false" customHeight="true" outlineLevel="0" collapsed="false">
      <c r="A18" s="2"/>
      <c r="B18" s="3"/>
      <c r="C18" s="3"/>
      <c r="D18" s="4"/>
      <c r="E18" s="5" t="str">
        <f aca="true">IF($A18="","",IF($D18="○","自動更新",IF($C18="","期限未設定",IF($C18&lt;TODAY(),"期限切れ",IF($C18-TODAY()&lt;=集計!$B$3,"期限間近","有効")))))</f>
        <v/>
      </c>
      <c r="F18" s="6" t="str">
        <f aca="true">IF(OR($A18="",$C18=""),"",IF(AND($D18="○",$C18&lt;TODAY()),"",$C18-TODAY()))</f>
        <v/>
      </c>
      <c r="G18" s="7"/>
      <c r="H18" s="8"/>
      <c r="I18" s="2"/>
      <c r="J18" s="2"/>
      <c r="K18" s="8"/>
      <c r="L18" s="8"/>
    </row>
    <row r="19" customFormat="false" ht="19.5" hidden="false" customHeight="true" outlineLevel="0" collapsed="false">
      <c r="A19" s="2"/>
      <c r="B19" s="3"/>
      <c r="C19" s="3"/>
      <c r="D19" s="4"/>
      <c r="E19" s="5" t="str">
        <f aca="true">IF($A19="","",IF($D19="○","自動更新",IF($C19="","期限未設定",IF($C19&lt;TODAY(),"期限切れ",IF($C19-TODAY()&lt;=集計!$B$3,"期限間近","有効")))))</f>
        <v/>
      </c>
      <c r="F19" s="6" t="str">
        <f aca="true">IF(OR($A19="",$C19=""),"",IF(AND($D19="○",$C19&lt;TODAY()),"",$C19-TODAY()))</f>
        <v/>
      </c>
      <c r="G19" s="7"/>
      <c r="H19" s="8"/>
      <c r="I19" s="2"/>
      <c r="J19" s="2"/>
      <c r="K19" s="8"/>
      <c r="L19" s="8"/>
    </row>
    <row r="20" customFormat="false" ht="19.5" hidden="false" customHeight="true" outlineLevel="0" collapsed="false">
      <c r="A20" s="2"/>
      <c r="B20" s="3"/>
      <c r="C20" s="3"/>
      <c r="D20" s="4"/>
      <c r="E20" s="5" t="str">
        <f aca="true">IF($A20="","",IF($D20="○","自動更新",IF($C20="","期限未設定",IF($C20&lt;TODAY(),"期限切れ",IF($C20-TODAY()&lt;=集計!$B$3,"期限間近","有効")))))</f>
        <v/>
      </c>
      <c r="F20" s="6" t="str">
        <f aca="true">IF(OR($A20="",$C20=""),"",IF(AND($D20="○",$C20&lt;TODAY()),"",$C20-TODAY()))</f>
        <v/>
      </c>
      <c r="G20" s="7"/>
      <c r="H20" s="8"/>
      <c r="I20" s="2"/>
      <c r="J20" s="2"/>
      <c r="K20" s="8"/>
      <c r="L20" s="8"/>
    </row>
    <row r="21" customFormat="false" ht="19.5" hidden="false" customHeight="true" outlineLevel="0" collapsed="false">
      <c r="A21" s="2"/>
      <c r="B21" s="3"/>
      <c r="C21" s="3"/>
      <c r="D21" s="4"/>
      <c r="E21" s="5" t="str">
        <f aca="true">IF($A21="","",IF($D21="○","自動更新",IF($C21="","期限未設定",IF($C21&lt;TODAY(),"期限切れ",IF($C21-TODAY()&lt;=集計!$B$3,"期限間近","有効")))))</f>
        <v/>
      </c>
      <c r="F21" s="6" t="str">
        <f aca="true">IF(OR($A21="",$C21=""),"",IF(AND($D21="○",$C21&lt;TODAY()),"",$C21-TODAY()))</f>
        <v/>
      </c>
      <c r="G21" s="7"/>
      <c r="H21" s="8"/>
      <c r="I21" s="2"/>
      <c r="J21" s="2"/>
      <c r="K21" s="8"/>
      <c r="L21" s="8"/>
    </row>
    <row r="22" customFormat="false" ht="19.5" hidden="false" customHeight="true" outlineLevel="0" collapsed="false">
      <c r="A22" s="2"/>
      <c r="B22" s="3"/>
      <c r="C22" s="3"/>
      <c r="D22" s="4"/>
      <c r="E22" s="5" t="str">
        <f aca="true">IF($A22="","",IF($D22="○","自動更新",IF($C22="","期限未設定",IF($C22&lt;TODAY(),"期限切れ",IF($C22-TODAY()&lt;=集計!$B$3,"期限間近","有効")))))</f>
        <v/>
      </c>
      <c r="F22" s="6" t="str">
        <f aca="true">IF(OR($A22="",$C22=""),"",IF(AND($D22="○",$C22&lt;TODAY()),"",$C22-TODAY()))</f>
        <v/>
      </c>
      <c r="G22" s="7"/>
      <c r="H22" s="8"/>
      <c r="I22" s="2"/>
      <c r="J22" s="2"/>
      <c r="K22" s="8"/>
      <c r="L22" s="8"/>
    </row>
    <row r="23" customFormat="false" ht="19.5" hidden="false" customHeight="true" outlineLevel="0" collapsed="false">
      <c r="A23" s="2"/>
      <c r="B23" s="3"/>
      <c r="C23" s="3"/>
      <c r="D23" s="4"/>
      <c r="E23" s="5" t="str">
        <f aca="true">IF($A23="","",IF($D23="○","自動更新",IF($C23="","期限未設定",IF($C23&lt;TODAY(),"期限切れ",IF($C23-TODAY()&lt;=集計!$B$3,"期限間近","有効")))))</f>
        <v/>
      </c>
      <c r="F23" s="6" t="str">
        <f aca="true">IF(OR($A23="",$C23=""),"",IF(AND($D23="○",$C23&lt;TODAY()),"",$C23-TODAY()))</f>
        <v/>
      </c>
      <c r="G23" s="7"/>
      <c r="H23" s="8"/>
      <c r="I23" s="2"/>
      <c r="J23" s="2"/>
      <c r="K23" s="8"/>
      <c r="L23" s="8"/>
    </row>
    <row r="24" customFormat="false" ht="19.5" hidden="false" customHeight="true" outlineLevel="0" collapsed="false">
      <c r="A24" s="2"/>
      <c r="B24" s="3"/>
      <c r="C24" s="3"/>
      <c r="D24" s="4"/>
      <c r="E24" s="5" t="str">
        <f aca="true">IF($A24="","",IF($D24="○","自動更新",IF($C24="","期限未設定",IF($C24&lt;TODAY(),"期限切れ",IF($C24-TODAY()&lt;=集計!$B$3,"期限間近","有効")))))</f>
        <v/>
      </c>
      <c r="F24" s="6" t="str">
        <f aca="true">IF(OR($A24="",$C24=""),"",IF(AND($D24="○",$C24&lt;TODAY()),"",$C24-TODAY()))</f>
        <v/>
      </c>
      <c r="G24" s="7"/>
      <c r="H24" s="8"/>
      <c r="I24" s="2"/>
      <c r="J24" s="2"/>
      <c r="K24" s="8"/>
      <c r="L24" s="8"/>
    </row>
    <row r="25" customFormat="false" ht="19.5" hidden="false" customHeight="true" outlineLevel="0" collapsed="false">
      <c r="A25" s="2"/>
      <c r="B25" s="3"/>
      <c r="C25" s="3"/>
      <c r="D25" s="4"/>
      <c r="E25" s="5" t="str">
        <f aca="true">IF($A25="","",IF($D25="○","自動更新",IF($C25="","期限未設定",IF($C25&lt;TODAY(),"期限切れ",IF($C25-TODAY()&lt;=集計!$B$3,"期限間近","有効")))))</f>
        <v/>
      </c>
      <c r="F25" s="6" t="str">
        <f aca="true">IF(OR($A25="",$C25=""),"",IF(AND($D25="○",$C25&lt;TODAY()),"",$C25-TODAY()))</f>
        <v/>
      </c>
      <c r="G25" s="7"/>
      <c r="H25" s="8"/>
      <c r="I25" s="2"/>
      <c r="J25" s="2"/>
      <c r="K25" s="8"/>
      <c r="L25" s="8"/>
    </row>
    <row r="26" customFormat="false" ht="19.5" hidden="false" customHeight="true" outlineLevel="0" collapsed="false">
      <c r="A26" s="2"/>
      <c r="B26" s="3"/>
      <c r="C26" s="3"/>
      <c r="D26" s="4"/>
      <c r="E26" s="5" t="str">
        <f aca="true">IF($A26="","",IF($D26="○","自動更新",IF($C26="","期限未設定",IF($C26&lt;TODAY(),"期限切れ",IF($C26-TODAY()&lt;=集計!$B$3,"期限間近","有効")))))</f>
        <v/>
      </c>
      <c r="F26" s="6" t="str">
        <f aca="true">IF(OR($A26="",$C26=""),"",IF(AND($D26="○",$C26&lt;TODAY()),"",$C26-TODAY()))</f>
        <v/>
      </c>
      <c r="G26" s="7"/>
      <c r="H26" s="8"/>
      <c r="I26" s="2"/>
      <c r="J26" s="2"/>
      <c r="K26" s="8"/>
      <c r="L26" s="8"/>
    </row>
    <row r="27" customFormat="false" ht="19.5" hidden="false" customHeight="true" outlineLevel="0" collapsed="false">
      <c r="A27" s="2"/>
      <c r="B27" s="3"/>
      <c r="C27" s="3"/>
      <c r="D27" s="4"/>
      <c r="E27" s="5" t="str">
        <f aca="true">IF($A27="","",IF($D27="○","自動更新",IF($C27="","期限未設定",IF($C27&lt;TODAY(),"期限切れ",IF($C27-TODAY()&lt;=集計!$B$3,"期限間近","有効")))))</f>
        <v/>
      </c>
      <c r="F27" s="6" t="str">
        <f aca="true">IF(OR($A27="",$C27=""),"",IF(AND($D27="○",$C27&lt;TODAY()),"",$C27-TODAY()))</f>
        <v/>
      </c>
      <c r="G27" s="7"/>
      <c r="H27" s="8"/>
      <c r="I27" s="2"/>
      <c r="J27" s="2"/>
      <c r="K27" s="8"/>
      <c r="L27" s="8"/>
    </row>
    <row r="28" customFormat="false" ht="19.5" hidden="false" customHeight="true" outlineLevel="0" collapsed="false">
      <c r="A28" s="2"/>
      <c r="B28" s="3"/>
      <c r="C28" s="3"/>
      <c r="D28" s="4"/>
      <c r="E28" s="5" t="str">
        <f aca="true">IF($A28="","",IF($D28="○","自動更新",IF($C28="","期限未設定",IF($C28&lt;TODAY(),"期限切れ",IF($C28-TODAY()&lt;=集計!$B$3,"期限間近","有効")))))</f>
        <v/>
      </c>
      <c r="F28" s="6" t="str">
        <f aca="true">IF(OR($A28="",$C28=""),"",IF(AND($D28="○",$C28&lt;TODAY()),"",$C28-TODAY()))</f>
        <v/>
      </c>
      <c r="G28" s="7"/>
      <c r="H28" s="8"/>
      <c r="I28" s="2"/>
      <c r="J28" s="2"/>
      <c r="K28" s="8"/>
      <c r="L28" s="8"/>
    </row>
    <row r="29" customFormat="false" ht="19.5" hidden="false" customHeight="true" outlineLevel="0" collapsed="false">
      <c r="A29" s="2"/>
      <c r="B29" s="3"/>
      <c r="C29" s="3"/>
      <c r="D29" s="4"/>
      <c r="E29" s="5" t="str">
        <f aca="true">IF($A29="","",IF($D29="○","自動更新",IF($C29="","期限未設定",IF($C29&lt;TODAY(),"期限切れ",IF($C29-TODAY()&lt;=集計!$B$3,"期限間近","有効")))))</f>
        <v/>
      </c>
      <c r="F29" s="6" t="str">
        <f aca="true">IF(OR($A29="",$C29=""),"",IF(AND($D29="○",$C29&lt;TODAY()),"",$C29-TODAY()))</f>
        <v/>
      </c>
      <c r="G29" s="7"/>
      <c r="H29" s="8"/>
      <c r="I29" s="2"/>
      <c r="J29" s="2"/>
      <c r="K29" s="8"/>
      <c r="L29" s="8"/>
    </row>
    <row r="30" customFormat="false" ht="19.5" hidden="false" customHeight="true" outlineLevel="0" collapsed="false">
      <c r="A30" s="2"/>
      <c r="B30" s="3"/>
      <c r="C30" s="3"/>
      <c r="D30" s="4"/>
      <c r="E30" s="5" t="str">
        <f aca="true">IF($A30="","",IF($D30="○","自動更新",IF($C30="","期限未設定",IF($C30&lt;TODAY(),"期限切れ",IF($C30-TODAY()&lt;=集計!$B$3,"期限間近","有効")))))</f>
        <v/>
      </c>
      <c r="F30" s="6" t="str">
        <f aca="true">IF(OR($A30="",$C30=""),"",IF(AND($D30="○",$C30&lt;TODAY()),"",$C30-TODAY()))</f>
        <v/>
      </c>
      <c r="G30" s="7"/>
      <c r="H30" s="8"/>
      <c r="I30" s="2"/>
      <c r="J30" s="2"/>
      <c r="K30" s="8"/>
      <c r="L30" s="8"/>
    </row>
    <row r="31" customFormat="false" ht="19.5" hidden="false" customHeight="true" outlineLevel="0" collapsed="false">
      <c r="A31" s="2"/>
      <c r="B31" s="3"/>
      <c r="C31" s="3"/>
      <c r="D31" s="4"/>
      <c r="E31" s="5" t="str">
        <f aca="true">IF($A31="","",IF($D31="○","自動更新",IF($C31="","期限未設定",IF($C31&lt;TODAY(),"期限切れ",IF($C31-TODAY()&lt;=集計!$B$3,"期限間近","有効")))))</f>
        <v/>
      </c>
      <c r="F31" s="6" t="str">
        <f aca="true">IF(OR($A31="",$C31=""),"",IF(AND($D31="○",$C31&lt;TODAY()),"",$C31-TODAY()))</f>
        <v/>
      </c>
      <c r="G31" s="7"/>
      <c r="H31" s="8"/>
      <c r="I31" s="2"/>
      <c r="J31" s="2"/>
      <c r="K31" s="8"/>
      <c r="L31" s="8"/>
    </row>
    <row r="32" customFormat="false" ht="19.5" hidden="false" customHeight="true" outlineLevel="0" collapsed="false">
      <c r="A32" s="2"/>
      <c r="B32" s="3"/>
      <c r="C32" s="3"/>
      <c r="D32" s="4"/>
      <c r="E32" s="5" t="str">
        <f aca="true">IF($A32="","",IF($D32="○","自動更新",IF($C32="","期限未設定",IF($C32&lt;TODAY(),"期限切れ",IF($C32-TODAY()&lt;=集計!$B$3,"期限間近","有効")))))</f>
        <v/>
      </c>
      <c r="F32" s="6" t="str">
        <f aca="true">IF(OR($A32="",$C32=""),"",IF(AND($D32="○",$C32&lt;TODAY()),"",$C32-TODAY()))</f>
        <v/>
      </c>
      <c r="G32" s="7"/>
      <c r="H32" s="8"/>
      <c r="I32" s="2"/>
      <c r="J32" s="2"/>
      <c r="K32" s="8"/>
      <c r="L32" s="8"/>
    </row>
    <row r="33" customFormat="false" ht="19.5" hidden="false" customHeight="true" outlineLevel="0" collapsed="false">
      <c r="A33" s="2"/>
      <c r="B33" s="3"/>
      <c r="C33" s="3"/>
      <c r="D33" s="4"/>
      <c r="E33" s="5" t="str">
        <f aca="true">IF($A33="","",IF($D33="○","自動更新",IF($C33="","期限未設定",IF($C33&lt;TODAY(),"期限切れ",IF($C33-TODAY()&lt;=集計!$B$3,"期限間近","有効")))))</f>
        <v/>
      </c>
      <c r="F33" s="6" t="str">
        <f aca="true">IF(OR($A33="",$C33=""),"",IF(AND($D33="○",$C33&lt;TODAY()),"",$C33-TODAY()))</f>
        <v/>
      </c>
      <c r="G33" s="7"/>
      <c r="H33" s="8"/>
      <c r="I33" s="2"/>
      <c r="J33" s="2"/>
      <c r="K33" s="8"/>
      <c r="L33" s="8"/>
    </row>
    <row r="34" customFormat="false" ht="19.5" hidden="false" customHeight="true" outlineLevel="0" collapsed="false">
      <c r="A34" s="2"/>
      <c r="B34" s="3"/>
      <c r="C34" s="3"/>
      <c r="D34" s="4"/>
      <c r="E34" s="5" t="str">
        <f aca="true">IF($A34="","",IF($D34="○","自動更新",IF($C34="","期限未設定",IF($C34&lt;TODAY(),"期限切れ",IF($C34-TODAY()&lt;=集計!$B$3,"期限間近","有効")))))</f>
        <v/>
      </c>
      <c r="F34" s="6" t="str">
        <f aca="true">IF(OR($A34="",$C34=""),"",IF(AND($D34="○",$C34&lt;TODAY()),"",$C34-TODAY()))</f>
        <v/>
      </c>
      <c r="G34" s="7"/>
      <c r="H34" s="8"/>
      <c r="I34" s="2"/>
      <c r="J34" s="2"/>
      <c r="K34" s="8"/>
      <c r="L34" s="8"/>
    </row>
    <row r="35" customFormat="false" ht="19.5" hidden="false" customHeight="true" outlineLevel="0" collapsed="false">
      <c r="A35" s="2"/>
      <c r="B35" s="3"/>
      <c r="C35" s="3"/>
      <c r="D35" s="4"/>
      <c r="E35" s="5" t="str">
        <f aca="true">IF($A35="","",IF($D35="○","自動更新",IF($C35="","期限未設定",IF($C35&lt;TODAY(),"期限切れ",IF($C35-TODAY()&lt;=集計!$B$3,"期限間近","有効")))))</f>
        <v/>
      </c>
      <c r="F35" s="6" t="str">
        <f aca="true">IF(OR($A35="",$C35=""),"",IF(AND($D35="○",$C35&lt;TODAY()),"",$C35-TODAY()))</f>
        <v/>
      </c>
      <c r="G35" s="7"/>
      <c r="H35" s="8"/>
      <c r="I35" s="2"/>
      <c r="J35" s="2"/>
      <c r="K35" s="8"/>
      <c r="L35" s="8"/>
    </row>
    <row r="36" customFormat="false" ht="19.5" hidden="false" customHeight="true" outlineLevel="0" collapsed="false">
      <c r="A36" s="2"/>
      <c r="B36" s="3"/>
      <c r="C36" s="3"/>
      <c r="D36" s="4"/>
      <c r="E36" s="5" t="str">
        <f aca="true">IF($A36="","",IF($D36="○","自動更新",IF($C36="","期限未設定",IF($C36&lt;TODAY(),"期限切れ",IF($C36-TODAY()&lt;=集計!$B$3,"期限間近","有効")))))</f>
        <v/>
      </c>
      <c r="F36" s="6" t="str">
        <f aca="true">IF(OR($A36="",$C36=""),"",IF(AND($D36="○",$C36&lt;TODAY()),"",$C36-TODAY()))</f>
        <v/>
      </c>
      <c r="G36" s="7"/>
      <c r="H36" s="8"/>
      <c r="I36" s="2"/>
      <c r="J36" s="2"/>
      <c r="K36" s="8"/>
      <c r="L36" s="8"/>
    </row>
    <row r="37" customFormat="false" ht="19.5" hidden="false" customHeight="true" outlineLevel="0" collapsed="false">
      <c r="A37" s="2"/>
      <c r="B37" s="3"/>
      <c r="C37" s="3"/>
      <c r="D37" s="4"/>
      <c r="E37" s="5" t="str">
        <f aca="true">IF($A37="","",IF($D37="○","自動更新",IF($C37="","期限未設定",IF($C37&lt;TODAY(),"期限切れ",IF($C37-TODAY()&lt;=集計!$B$3,"期限間近","有効")))))</f>
        <v/>
      </c>
      <c r="F37" s="6" t="str">
        <f aca="true">IF(OR($A37="",$C37=""),"",IF(AND($D37="○",$C37&lt;TODAY()),"",$C37-TODAY()))</f>
        <v/>
      </c>
      <c r="G37" s="7"/>
      <c r="H37" s="8"/>
      <c r="I37" s="2"/>
      <c r="J37" s="2"/>
      <c r="K37" s="8"/>
      <c r="L37" s="8"/>
    </row>
    <row r="38" customFormat="false" ht="19.5" hidden="false" customHeight="true" outlineLevel="0" collapsed="false">
      <c r="A38" s="2"/>
      <c r="B38" s="3"/>
      <c r="C38" s="3"/>
      <c r="D38" s="4"/>
      <c r="E38" s="5" t="str">
        <f aca="true">IF($A38="","",IF($D38="○","自動更新",IF($C38="","期限未設定",IF($C38&lt;TODAY(),"期限切れ",IF($C38-TODAY()&lt;=集計!$B$3,"期限間近","有効")))))</f>
        <v/>
      </c>
      <c r="F38" s="6" t="str">
        <f aca="true">IF(OR($A38="",$C38=""),"",IF(AND($D38="○",$C38&lt;TODAY()),"",$C38-TODAY()))</f>
        <v/>
      </c>
      <c r="G38" s="7"/>
      <c r="H38" s="8"/>
      <c r="I38" s="2"/>
      <c r="J38" s="2"/>
      <c r="K38" s="8"/>
      <c r="L38" s="8"/>
    </row>
    <row r="39" customFormat="false" ht="19.5" hidden="false" customHeight="true" outlineLevel="0" collapsed="false">
      <c r="A39" s="2"/>
      <c r="B39" s="3"/>
      <c r="C39" s="3"/>
      <c r="D39" s="4"/>
      <c r="E39" s="5" t="str">
        <f aca="true">IF($A39="","",IF($D39="○","自動更新",IF($C39="","期限未設定",IF($C39&lt;TODAY(),"期限切れ",IF($C39-TODAY()&lt;=集計!$B$3,"期限間近","有効")))))</f>
        <v/>
      </c>
      <c r="F39" s="6" t="str">
        <f aca="true">IF(OR($A39="",$C39=""),"",IF(AND($D39="○",$C39&lt;TODAY()),"",$C39-TODAY()))</f>
        <v/>
      </c>
      <c r="G39" s="7"/>
      <c r="H39" s="8"/>
      <c r="I39" s="2"/>
      <c r="J39" s="2"/>
      <c r="K39" s="8"/>
      <c r="L39" s="8"/>
    </row>
    <row r="40" customFormat="false" ht="19.5" hidden="false" customHeight="true" outlineLevel="0" collapsed="false">
      <c r="A40" s="2"/>
      <c r="B40" s="3"/>
      <c r="C40" s="3"/>
      <c r="D40" s="4"/>
      <c r="E40" s="5" t="str">
        <f aca="true">IF($A40="","",IF($D40="○","自動更新",IF($C40="","期限未設定",IF($C40&lt;TODAY(),"期限切れ",IF($C40-TODAY()&lt;=集計!$B$3,"期限間近","有効")))))</f>
        <v/>
      </c>
      <c r="F40" s="6" t="str">
        <f aca="true">IF(OR($A40="",$C40=""),"",IF(AND($D40="○",$C40&lt;TODAY()),"",$C40-TODAY()))</f>
        <v/>
      </c>
      <c r="G40" s="7"/>
      <c r="H40" s="8"/>
      <c r="I40" s="2"/>
      <c r="J40" s="2"/>
      <c r="K40" s="8"/>
      <c r="L40" s="8"/>
    </row>
    <row r="41" customFormat="false" ht="19.5" hidden="false" customHeight="true" outlineLevel="0" collapsed="false">
      <c r="A41" s="2"/>
      <c r="B41" s="3"/>
      <c r="C41" s="3"/>
      <c r="D41" s="4"/>
      <c r="E41" s="5" t="str">
        <f aca="true">IF($A41="","",IF($D41="○","自動更新",IF($C41="","期限未設定",IF($C41&lt;TODAY(),"期限切れ",IF($C41-TODAY()&lt;=集計!$B$3,"期限間近","有効")))))</f>
        <v/>
      </c>
      <c r="F41" s="6" t="str">
        <f aca="true">IF(OR($A41="",$C41=""),"",IF(AND($D41="○",$C41&lt;TODAY()),"",$C41-TODAY()))</f>
        <v/>
      </c>
      <c r="G41" s="7"/>
      <c r="H41" s="8"/>
      <c r="I41" s="2"/>
      <c r="J41" s="2"/>
      <c r="K41" s="8"/>
      <c r="L41" s="8"/>
    </row>
    <row r="42" customFormat="false" ht="19.5" hidden="false" customHeight="true" outlineLevel="0" collapsed="false">
      <c r="A42" s="2"/>
      <c r="B42" s="3"/>
      <c r="C42" s="3"/>
      <c r="D42" s="4"/>
      <c r="E42" s="5" t="str">
        <f aca="true">IF($A42="","",IF($D42="○","自動更新",IF($C42="","期限未設定",IF($C42&lt;TODAY(),"期限切れ",IF($C42-TODAY()&lt;=集計!$B$3,"期限間近","有効")))))</f>
        <v/>
      </c>
      <c r="F42" s="6" t="str">
        <f aca="true">IF(OR($A42="",$C42=""),"",IF(AND($D42="○",$C42&lt;TODAY()),"",$C42-TODAY()))</f>
        <v/>
      </c>
      <c r="G42" s="7"/>
      <c r="H42" s="8"/>
      <c r="I42" s="2"/>
      <c r="J42" s="2"/>
      <c r="K42" s="8"/>
      <c r="L42" s="8"/>
    </row>
    <row r="43" customFormat="false" ht="19.5" hidden="false" customHeight="true" outlineLevel="0" collapsed="false">
      <c r="A43" s="2"/>
      <c r="B43" s="3"/>
      <c r="C43" s="3"/>
      <c r="D43" s="4"/>
      <c r="E43" s="5" t="str">
        <f aca="true">IF($A43="","",IF($D43="○","自動更新",IF($C43="","期限未設定",IF($C43&lt;TODAY(),"期限切れ",IF($C43-TODAY()&lt;=集計!$B$3,"期限間近","有効")))))</f>
        <v/>
      </c>
      <c r="F43" s="6" t="str">
        <f aca="true">IF(OR($A43="",$C43=""),"",IF(AND($D43="○",$C43&lt;TODAY()),"",$C43-TODAY()))</f>
        <v/>
      </c>
      <c r="G43" s="7"/>
      <c r="H43" s="8"/>
      <c r="I43" s="2"/>
      <c r="J43" s="2"/>
      <c r="K43" s="8"/>
      <c r="L43" s="8"/>
    </row>
    <row r="44" customFormat="false" ht="19.5" hidden="false" customHeight="true" outlineLevel="0" collapsed="false">
      <c r="A44" s="2"/>
      <c r="B44" s="3"/>
      <c r="C44" s="3"/>
      <c r="D44" s="4"/>
      <c r="E44" s="5" t="str">
        <f aca="true">IF($A44="","",IF($D44="○","自動更新",IF($C44="","期限未設定",IF($C44&lt;TODAY(),"期限切れ",IF($C44-TODAY()&lt;=集計!$B$3,"期限間近","有効")))))</f>
        <v/>
      </c>
      <c r="F44" s="6" t="str">
        <f aca="true">IF(OR($A44="",$C44=""),"",IF(AND($D44="○",$C44&lt;TODAY()),"",$C44-TODAY()))</f>
        <v/>
      </c>
      <c r="G44" s="7"/>
      <c r="H44" s="8"/>
      <c r="I44" s="2"/>
      <c r="J44" s="2"/>
      <c r="K44" s="8"/>
      <c r="L44" s="8"/>
    </row>
    <row r="45" customFormat="false" ht="19.5" hidden="false" customHeight="true" outlineLevel="0" collapsed="false">
      <c r="A45" s="2"/>
      <c r="B45" s="3"/>
      <c r="C45" s="3"/>
      <c r="D45" s="4"/>
      <c r="E45" s="5" t="str">
        <f aca="true">IF($A45="","",IF($D45="○","自動更新",IF($C45="","期限未設定",IF($C45&lt;TODAY(),"期限切れ",IF($C45-TODAY()&lt;=集計!$B$3,"期限間近","有効")))))</f>
        <v/>
      </c>
      <c r="F45" s="6" t="str">
        <f aca="true">IF(OR($A45="",$C45=""),"",IF(AND($D45="○",$C45&lt;TODAY()),"",$C45-TODAY()))</f>
        <v/>
      </c>
      <c r="G45" s="7"/>
      <c r="H45" s="8"/>
      <c r="I45" s="2"/>
      <c r="J45" s="2"/>
      <c r="K45" s="8"/>
      <c r="L45" s="8"/>
    </row>
    <row r="46" customFormat="false" ht="19.5" hidden="false" customHeight="true" outlineLevel="0" collapsed="false">
      <c r="A46" s="2"/>
      <c r="B46" s="3"/>
      <c r="C46" s="3"/>
      <c r="D46" s="4"/>
      <c r="E46" s="5" t="str">
        <f aca="true">IF($A46="","",IF($D46="○","自動更新",IF($C46="","期限未設定",IF($C46&lt;TODAY(),"期限切れ",IF($C46-TODAY()&lt;=集計!$B$3,"期限間近","有効")))))</f>
        <v/>
      </c>
      <c r="F46" s="6" t="str">
        <f aca="true">IF(OR($A46="",$C46=""),"",IF(AND($D46="○",$C46&lt;TODAY()),"",$C46-TODAY()))</f>
        <v/>
      </c>
      <c r="G46" s="7"/>
      <c r="H46" s="8"/>
      <c r="I46" s="2"/>
      <c r="J46" s="2"/>
      <c r="K46" s="8"/>
      <c r="L46" s="8"/>
    </row>
    <row r="47" customFormat="false" ht="19.5" hidden="false" customHeight="true" outlineLevel="0" collapsed="false">
      <c r="A47" s="2"/>
      <c r="B47" s="3"/>
      <c r="C47" s="3"/>
      <c r="D47" s="4"/>
      <c r="E47" s="5" t="str">
        <f aca="true">IF($A47="","",IF($D47="○","自動更新",IF($C47="","期限未設定",IF($C47&lt;TODAY(),"期限切れ",IF($C47-TODAY()&lt;=集計!$B$3,"期限間近","有効")))))</f>
        <v/>
      </c>
      <c r="F47" s="6" t="str">
        <f aca="true">IF(OR($A47="",$C47=""),"",IF(AND($D47="○",$C47&lt;TODAY()),"",$C47-TODAY()))</f>
        <v/>
      </c>
      <c r="G47" s="7"/>
      <c r="H47" s="8"/>
      <c r="I47" s="2"/>
      <c r="J47" s="2"/>
      <c r="K47" s="8"/>
      <c r="L47" s="8"/>
    </row>
    <row r="48" customFormat="false" ht="19.5" hidden="false" customHeight="true" outlineLevel="0" collapsed="false">
      <c r="A48" s="2"/>
      <c r="B48" s="3"/>
      <c r="C48" s="3"/>
      <c r="D48" s="4"/>
      <c r="E48" s="5" t="str">
        <f aca="true">IF($A48="","",IF($D48="○","自動更新",IF($C48="","期限未設定",IF($C48&lt;TODAY(),"期限切れ",IF($C48-TODAY()&lt;=集計!$B$3,"期限間近","有効")))))</f>
        <v/>
      </c>
      <c r="F48" s="6" t="str">
        <f aca="true">IF(OR($A48="",$C48=""),"",IF(AND($D48="○",$C48&lt;TODAY()),"",$C48-TODAY()))</f>
        <v/>
      </c>
      <c r="G48" s="7"/>
      <c r="H48" s="8"/>
      <c r="I48" s="2"/>
      <c r="J48" s="2"/>
      <c r="K48" s="8"/>
      <c r="L48" s="8"/>
    </row>
    <row r="49" customFormat="false" ht="19.5" hidden="false" customHeight="true" outlineLevel="0" collapsed="false">
      <c r="A49" s="2"/>
      <c r="B49" s="3"/>
      <c r="C49" s="3"/>
      <c r="D49" s="4"/>
      <c r="E49" s="5" t="str">
        <f aca="true">IF($A49="","",IF($D49="○","自動更新",IF($C49="","期限未設定",IF($C49&lt;TODAY(),"期限切れ",IF($C49-TODAY()&lt;=集計!$B$3,"期限間近","有効")))))</f>
        <v/>
      </c>
      <c r="F49" s="6" t="str">
        <f aca="true">IF(OR($A49="",$C49=""),"",IF(AND($D49="○",$C49&lt;TODAY()),"",$C49-TODAY()))</f>
        <v/>
      </c>
      <c r="G49" s="7"/>
      <c r="H49" s="8"/>
      <c r="I49" s="2"/>
      <c r="J49" s="2"/>
      <c r="K49" s="8"/>
      <c r="L49" s="8"/>
    </row>
    <row r="50" customFormat="false" ht="19.5" hidden="false" customHeight="true" outlineLevel="0" collapsed="false">
      <c r="A50" s="2"/>
      <c r="B50" s="3"/>
      <c r="C50" s="3"/>
      <c r="D50" s="4"/>
      <c r="E50" s="5" t="str">
        <f aca="true">IF($A50="","",IF($D50="○","自動更新",IF($C50="","期限未設定",IF($C50&lt;TODAY(),"期限切れ",IF($C50-TODAY()&lt;=集計!$B$3,"期限間近","有効")))))</f>
        <v/>
      </c>
      <c r="F50" s="6" t="str">
        <f aca="true">IF(OR($A50="",$C50=""),"",IF(AND($D50="○",$C50&lt;TODAY()),"",$C50-TODAY()))</f>
        <v/>
      </c>
      <c r="G50" s="7"/>
      <c r="H50" s="8"/>
      <c r="I50" s="2"/>
      <c r="J50" s="2"/>
      <c r="K50" s="8"/>
      <c r="L50" s="8"/>
    </row>
    <row r="51" customFormat="false" ht="19.5" hidden="false" customHeight="true" outlineLevel="0" collapsed="false">
      <c r="A51" s="2"/>
      <c r="B51" s="3"/>
      <c r="C51" s="3"/>
      <c r="D51" s="4"/>
      <c r="E51" s="5" t="str">
        <f aca="true">IF($A51="","",IF($D51="○","自動更新",IF($C51="","期限未設定",IF($C51&lt;TODAY(),"期限切れ",IF($C51-TODAY()&lt;=集計!$B$3,"期限間近","有効")))))</f>
        <v/>
      </c>
      <c r="F51" s="6" t="str">
        <f aca="true">IF(OR($A51="",$C51=""),"",IF(AND($D51="○",$C51&lt;TODAY()),"",$C51-TODAY()))</f>
        <v/>
      </c>
      <c r="G51" s="7"/>
      <c r="H51" s="8"/>
      <c r="I51" s="2"/>
      <c r="J51" s="2"/>
      <c r="K51" s="8"/>
      <c r="L51" s="8"/>
    </row>
    <row r="52" customFormat="false" ht="19.5" hidden="false" customHeight="true" outlineLevel="0" collapsed="false">
      <c r="A52" s="2"/>
      <c r="B52" s="3"/>
      <c r="C52" s="3"/>
      <c r="D52" s="4"/>
      <c r="E52" s="5" t="str">
        <f aca="true">IF($A52="","",IF($D52="○","自動更新",IF($C52="","期限未設定",IF($C52&lt;TODAY(),"期限切れ",IF($C52-TODAY()&lt;=集計!$B$3,"期限間近","有効")))))</f>
        <v/>
      </c>
      <c r="F52" s="6" t="str">
        <f aca="true">IF(OR($A52="",$C52=""),"",IF(AND($D52="○",$C52&lt;TODAY()),"",$C52-TODAY()))</f>
        <v/>
      </c>
      <c r="G52" s="7"/>
      <c r="H52" s="8"/>
      <c r="I52" s="2"/>
      <c r="J52" s="2"/>
      <c r="K52" s="8"/>
      <c r="L52" s="8"/>
    </row>
    <row r="53" customFormat="false" ht="19.5" hidden="false" customHeight="true" outlineLevel="0" collapsed="false">
      <c r="A53" s="2"/>
      <c r="B53" s="3"/>
      <c r="C53" s="3"/>
      <c r="D53" s="4"/>
      <c r="E53" s="5" t="str">
        <f aca="true">IF($A53="","",IF($D53="○","自動更新",IF($C53="","期限未設定",IF($C53&lt;TODAY(),"期限切れ",IF($C53-TODAY()&lt;=集計!$B$3,"期限間近","有効")))))</f>
        <v/>
      </c>
      <c r="F53" s="6" t="str">
        <f aca="true">IF(OR($A53="",$C53=""),"",IF(AND($D53="○",$C53&lt;TODAY()),"",$C53-TODAY()))</f>
        <v/>
      </c>
      <c r="G53" s="7"/>
      <c r="H53" s="8"/>
      <c r="I53" s="2"/>
      <c r="J53" s="2"/>
      <c r="K53" s="8"/>
      <c r="L53" s="8"/>
    </row>
    <row r="54" customFormat="false" ht="19.5" hidden="false" customHeight="true" outlineLevel="0" collapsed="false">
      <c r="A54" s="2"/>
      <c r="B54" s="3"/>
      <c r="C54" s="3"/>
      <c r="D54" s="4"/>
      <c r="E54" s="5" t="str">
        <f aca="true">IF($A54="","",IF($D54="○","自動更新",IF($C54="","期限未設定",IF($C54&lt;TODAY(),"期限切れ",IF($C54-TODAY()&lt;=集計!$B$3,"期限間近","有効")))))</f>
        <v/>
      </c>
      <c r="F54" s="6" t="str">
        <f aca="true">IF(OR($A54="",$C54=""),"",IF(AND($D54="○",$C54&lt;TODAY()),"",$C54-TODAY()))</f>
        <v/>
      </c>
      <c r="G54" s="7"/>
      <c r="H54" s="8"/>
      <c r="I54" s="2"/>
      <c r="J54" s="2"/>
      <c r="K54" s="8"/>
      <c r="L54" s="8"/>
    </row>
    <row r="55" customFormat="false" ht="19.5" hidden="false" customHeight="true" outlineLevel="0" collapsed="false">
      <c r="A55" s="2"/>
      <c r="B55" s="3"/>
      <c r="C55" s="3"/>
      <c r="D55" s="4"/>
      <c r="E55" s="5" t="str">
        <f aca="true">IF($A55="","",IF($D55="○","自動更新",IF($C55="","期限未設定",IF($C55&lt;TODAY(),"期限切れ",IF($C55-TODAY()&lt;=集計!$B$3,"期限間近","有効")))))</f>
        <v/>
      </c>
      <c r="F55" s="6" t="str">
        <f aca="true">IF(OR($A55="",$C55=""),"",IF(AND($D55="○",$C55&lt;TODAY()),"",$C55-TODAY()))</f>
        <v/>
      </c>
      <c r="G55" s="7"/>
      <c r="H55" s="8"/>
      <c r="I55" s="2"/>
      <c r="J55" s="2"/>
      <c r="K55" s="8"/>
      <c r="L55" s="8"/>
    </row>
    <row r="56" customFormat="false" ht="19.5" hidden="false" customHeight="true" outlineLevel="0" collapsed="false">
      <c r="A56" s="2"/>
      <c r="B56" s="3"/>
      <c r="C56" s="3"/>
      <c r="D56" s="4"/>
      <c r="E56" s="5" t="str">
        <f aca="true">IF($A56="","",IF($D56="○","自動更新",IF($C56="","期限未設定",IF($C56&lt;TODAY(),"期限切れ",IF($C56-TODAY()&lt;=集計!$B$3,"期限間近","有効")))))</f>
        <v/>
      </c>
      <c r="F56" s="6" t="str">
        <f aca="true">IF(OR($A56="",$C56=""),"",IF(AND($D56="○",$C56&lt;TODAY()),"",$C56-TODAY()))</f>
        <v/>
      </c>
      <c r="G56" s="7"/>
      <c r="H56" s="8"/>
      <c r="I56" s="2"/>
      <c r="J56" s="2"/>
      <c r="K56" s="8"/>
      <c r="L56" s="8"/>
    </row>
    <row r="57" customFormat="false" ht="19.5" hidden="false" customHeight="true" outlineLevel="0" collapsed="false">
      <c r="A57" s="2"/>
      <c r="B57" s="3"/>
      <c r="C57" s="3"/>
      <c r="D57" s="4"/>
      <c r="E57" s="5" t="str">
        <f aca="true">IF($A57="","",IF($D57="○","自動更新",IF($C57="","期限未設定",IF($C57&lt;TODAY(),"期限切れ",IF($C57-TODAY()&lt;=集計!$B$3,"期限間近","有効")))))</f>
        <v/>
      </c>
      <c r="F57" s="6" t="str">
        <f aca="true">IF(OR($A57="",$C57=""),"",IF(AND($D57="○",$C57&lt;TODAY()),"",$C57-TODAY()))</f>
        <v/>
      </c>
      <c r="G57" s="7"/>
      <c r="H57" s="8"/>
      <c r="I57" s="2"/>
      <c r="J57" s="2"/>
      <c r="K57" s="8"/>
      <c r="L57" s="8"/>
    </row>
    <row r="58" customFormat="false" ht="19.5" hidden="false" customHeight="true" outlineLevel="0" collapsed="false">
      <c r="A58" s="2"/>
      <c r="B58" s="3"/>
      <c r="C58" s="3"/>
      <c r="D58" s="4"/>
      <c r="E58" s="5" t="str">
        <f aca="true">IF($A58="","",IF($D58="○","自動更新",IF($C58="","期限未設定",IF($C58&lt;TODAY(),"期限切れ",IF($C58-TODAY()&lt;=集計!$B$3,"期限間近","有効")))))</f>
        <v/>
      </c>
      <c r="F58" s="6" t="str">
        <f aca="true">IF(OR($A58="",$C58=""),"",IF(AND($D58="○",$C58&lt;TODAY()),"",$C58-TODAY()))</f>
        <v/>
      </c>
      <c r="G58" s="7"/>
      <c r="H58" s="8"/>
      <c r="I58" s="2"/>
      <c r="J58" s="2"/>
      <c r="K58" s="8"/>
      <c r="L58" s="8"/>
    </row>
    <row r="59" customFormat="false" ht="19.5" hidden="false" customHeight="true" outlineLevel="0" collapsed="false">
      <c r="A59" s="2"/>
      <c r="B59" s="3"/>
      <c r="C59" s="3"/>
      <c r="D59" s="4"/>
      <c r="E59" s="5" t="str">
        <f aca="true">IF($A59="","",IF($D59="○","自動更新",IF($C59="","期限未設定",IF($C59&lt;TODAY(),"期限切れ",IF($C59-TODAY()&lt;=集計!$B$3,"期限間近","有効")))))</f>
        <v/>
      </c>
      <c r="F59" s="6" t="str">
        <f aca="true">IF(OR($A59="",$C59=""),"",IF(AND($D59="○",$C59&lt;TODAY()),"",$C59-TODAY()))</f>
        <v/>
      </c>
      <c r="G59" s="7"/>
      <c r="H59" s="8"/>
      <c r="I59" s="2"/>
      <c r="J59" s="2"/>
      <c r="K59" s="8"/>
      <c r="L59" s="8"/>
    </row>
    <row r="60" customFormat="false" ht="19.5" hidden="false" customHeight="true" outlineLevel="0" collapsed="false">
      <c r="A60" s="2"/>
      <c r="B60" s="3"/>
      <c r="C60" s="3"/>
      <c r="D60" s="4"/>
      <c r="E60" s="5" t="str">
        <f aca="true">IF($A60="","",IF($D60="○","自動更新",IF($C60="","期限未設定",IF($C60&lt;TODAY(),"期限切れ",IF($C60-TODAY()&lt;=集計!$B$3,"期限間近","有効")))))</f>
        <v/>
      </c>
      <c r="F60" s="6" t="str">
        <f aca="true">IF(OR($A60="",$C60=""),"",IF(AND($D60="○",$C60&lt;TODAY()),"",$C60-TODAY()))</f>
        <v/>
      </c>
      <c r="G60" s="7"/>
      <c r="H60" s="8"/>
      <c r="I60" s="2"/>
      <c r="J60" s="2"/>
      <c r="K60" s="8"/>
      <c r="L60" s="8"/>
    </row>
    <row r="61" customFormat="false" ht="19.5" hidden="false" customHeight="true" outlineLevel="0" collapsed="false">
      <c r="A61" s="2"/>
      <c r="B61" s="3"/>
      <c r="C61" s="3"/>
      <c r="D61" s="4"/>
      <c r="E61" s="5" t="str">
        <f aca="true">IF($A61="","",IF($D61="○","自動更新",IF($C61="","期限未設定",IF($C61&lt;TODAY(),"期限切れ",IF($C61-TODAY()&lt;=集計!$B$3,"期限間近","有効")))))</f>
        <v/>
      </c>
      <c r="F61" s="6" t="str">
        <f aca="true">IF(OR($A61="",$C61=""),"",IF(AND($D61="○",$C61&lt;TODAY()),"",$C61-TODAY()))</f>
        <v/>
      </c>
      <c r="G61" s="7"/>
      <c r="H61" s="8"/>
      <c r="I61" s="2"/>
      <c r="J61" s="2"/>
      <c r="K61" s="8"/>
      <c r="L61" s="8"/>
    </row>
    <row r="62" customFormat="false" ht="19.5" hidden="false" customHeight="true" outlineLevel="0" collapsed="false">
      <c r="A62" s="2"/>
      <c r="B62" s="3"/>
      <c r="C62" s="3"/>
      <c r="D62" s="4"/>
      <c r="E62" s="5" t="str">
        <f aca="true">IF($A62="","",IF($D62="○","自動更新",IF($C62="","期限未設定",IF($C62&lt;TODAY(),"期限切れ",IF($C62-TODAY()&lt;=集計!$B$3,"期限間近","有効")))))</f>
        <v/>
      </c>
      <c r="F62" s="6" t="str">
        <f aca="true">IF(OR($A62="",$C62=""),"",IF(AND($D62="○",$C62&lt;TODAY()),"",$C62-TODAY()))</f>
        <v/>
      </c>
      <c r="G62" s="7"/>
      <c r="H62" s="8"/>
      <c r="I62" s="2"/>
      <c r="J62" s="2"/>
      <c r="K62" s="8"/>
      <c r="L62" s="8"/>
    </row>
    <row r="63" customFormat="false" ht="19.5" hidden="false" customHeight="true" outlineLevel="0" collapsed="false">
      <c r="A63" s="2"/>
      <c r="B63" s="3"/>
      <c r="C63" s="3"/>
      <c r="D63" s="4"/>
      <c r="E63" s="5" t="str">
        <f aca="true">IF($A63="","",IF($D63="○","自動更新",IF($C63="","期限未設定",IF($C63&lt;TODAY(),"期限切れ",IF($C63-TODAY()&lt;=集計!$B$3,"期限間近","有効")))))</f>
        <v/>
      </c>
      <c r="F63" s="6" t="str">
        <f aca="true">IF(OR($A63="",$C63=""),"",IF(AND($D63="○",$C63&lt;TODAY()),"",$C63-TODAY()))</f>
        <v/>
      </c>
      <c r="G63" s="7"/>
      <c r="H63" s="8"/>
      <c r="I63" s="2"/>
      <c r="J63" s="2"/>
      <c r="K63" s="8"/>
      <c r="L63" s="8"/>
    </row>
    <row r="64" customFormat="false" ht="19.5" hidden="false" customHeight="true" outlineLevel="0" collapsed="false">
      <c r="A64" s="2"/>
      <c r="B64" s="3"/>
      <c r="C64" s="3"/>
      <c r="D64" s="4"/>
      <c r="E64" s="5" t="str">
        <f aca="true">IF($A64="","",IF($D64="○","自動更新",IF($C64="","期限未設定",IF($C64&lt;TODAY(),"期限切れ",IF($C64-TODAY()&lt;=集計!$B$3,"期限間近","有効")))))</f>
        <v/>
      </c>
      <c r="F64" s="6" t="str">
        <f aca="true">IF(OR($A64="",$C64=""),"",IF(AND($D64="○",$C64&lt;TODAY()),"",$C64-TODAY()))</f>
        <v/>
      </c>
      <c r="G64" s="7"/>
      <c r="H64" s="8"/>
      <c r="I64" s="2"/>
      <c r="J64" s="2"/>
      <c r="K64" s="8"/>
      <c r="L64" s="8"/>
    </row>
    <row r="65" customFormat="false" ht="19.5" hidden="false" customHeight="true" outlineLevel="0" collapsed="false">
      <c r="A65" s="2"/>
      <c r="B65" s="3"/>
      <c r="C65" s="3"/>
      <c r="D65" s="4"/>
      <c r="E65" s="5" t="str">
        <f aca="true">IF($A65="","",IF($D65="○","自動更新",IF($C65="","期限未設定",IF($C65&lt;TODAY(),"期限切れ",IF($C65-TODAY()&lt;=集計!$B$3,"期限間近","有効")))))</f>
        <v/>
      </c>
      <c r="F65" s="6" t="str">
        <f aca="true">IF(OR($A65="",$C65=""),"",IF(AND($D65="○",$C65&lt;TODAY()),"",$C65-TODAY()))</f>
        <v/>
      </c>
      <c r="G65" s="7"/>
      <c r="H65" s="8"/>
      <c r="I65" s="2"/>
      <c r="J65" s="2"/>
      <c r="K65" s="8"/>
      <c r="L65" s="8"/>
    </row>
    <row r="66" customFormat="false" ht="19.5" hidden="false" customHeight="true" outlineLevel="0" collapsed="false">
      <c r="A66" s="2"/>
      <c r="B66" s="3"/>
      <c r="C66" s="3"/>
      <c r="D66" s="4"/>
      <c r="E66" s="5" t="str">
        <f aca="true">IF($A66="","",IF($D66="○","自動更新",IF($C66="","期限未設定",IF($C66&lt;TODAY(),"期限切れ",IF($C66-TODAY()&lt;=集計!$B$3,"期限間近","有効")))))</f>
        <v/>
      </c>
      <c r="F66" s="6" t="str">
        <f aca="true">IF(OR($A66="",$C66=""),"",IF(AND($D66="○",$C66&lt;TODAY()),"",$C66-TODAY()))</f>
        <v/>
      </c>
      <c r="G66" s="7"/>
      <c r="H66" s="8"/>
      <c r="I66" s="2"/>
      <c r="J66" s="2"/>
      <c r="K66" s="8"/>
      <c r="L66" s="8"/>
    </row>
    <row r="67" customFormat="false" ht="19.5" hidden="false" customHeight="true" outlineLevel="0" collapsed="false">
      <c r="A67" s="2"/>
      <c r="B67" s="3"/>
      <c r="C67" s="3"/>
      <c r="D67" s="4"/>
      <c r="E67" s="5" t="str">
        <f aca="true">IF($A67="","",IF($D67="○","自動更新",IF($C67="","期限未設定",IF($C67&lt;TODAY(),"期限切れ",IF($C67-TODAY()&lt;=集計!$B$3,"期限間近","有効")))))</f>
        <v/>
      </c>
      <c r="F67" s="6" t="str">
        <f aca="true">IF(OR($A67="",$C67=""),"",IF(AND($D67="○",$C67&lt;TODAY()),"",$C67-TODAY()))</f>
        <v/>
      </c>
      <c r="G67" s="7"/>
      <c r="H67" s="8"/>
      <c r="I67" s="2"/>
      <c r="J67" s="2"/>
      <c r="K67" s="8"/>
      <c r="L67" s="8"/>
    </row>
    <row r="68" customFormat="false" ht="19.5" hidden="false" customHeight="true" outlineLevel="0" collapsed="false">
      <c r="A68" s="2"/>
      <c r="B68" s="3"/>
      <c r="C68" s="3"/>
      <c r="D68" s="4"/>
      <c r="E68" s="5" t="str">
        <f aca="true">IF($A68="","",IF($D68="○","自動更新",IF($C68="","期限未設定",IF($C68&lt;TODAY(),"期限切れ",IF($C68-TODAY()&lt;=集計!$B$3,"期限間近","有効")))))</f>
        <v/>
      </c>
      <c r="F68" s="6" t="str">
        <f aca="true">IF(OR($A68="",$C68=""),"",IF(AND($D68="○",$C68&lt;TODAY()),"",$C68-TODAY()))</f>
        <v/>
      </c>
      <c r="G68" s="7"/>
      <c r="H68" s="8"/>
      <c r="I68" s="2"/>
      <c r="J68" s="2"/>
      <c r="K68" s="8"/>
      <c r="L68" s="8"/>
    </row>
    <row r="69" customFormat="false" ht="19.5" hidden="false" customHeight="true" outlineLevel="0" collapsed="false">
      <c r="A69" s="2"/>
      <c r="B69" s="3"/>
      <c r="C69" s="3"/>
      <c r="D69" s="4"/>
      <c r="E69" s="5" t="str">
        <f aca="true">IF($A69="","",IF($D69="○","自動更新",IF($C69="","期限未設定",IF($C69&lt;TODAY(),"期限切れ",IF($C69-TODAY()&lt;=集計!$B$3,"期限間近","有効")))))</f>
        <v/>
      </c>
      <c r="F69" s="6" t="str">
        <f aca="true">IF(OR($A69="",$C69=""),"",IF(AND($D69="○",$C69&lt;TODAY()),"",$C69-TODAY()))</f>
        <v/>
      </c>
      <c r="G69" s="7"/>
      <c r="H69" s="8"/>
      <c r="I69" s="2"/>
      <c r="J69" s="2"/>
      <c r="K69" s="8"/>
      <c r="L69" s="8"/>
    </row>
    <row r="70" customFormat="false" ht="19.5" hidden="false" customHeight="true" outlineLevel="0" collapsed="false">
      <c r="A70" s="2"/>
      <c r="B70" s="3"/>
      <c r="C70" s="3"/>
      <c r="D70" s="4"/>
      <c r="E70" s="5" t="str">
        <f aca="true">IF($A70="","",IF($D70="○","自動更新",IF($C70="","期限未設定",IF($C70&lt;TODAY(),"期限切れ",IF($C70-TODAY()&lt;=集計!$B$3,"期限間近","有効")))))</f>
        <v/>
      </c>
      <c r="F70" s="6" t="str">
        <f aca="true">IF(OR($A70="",$C70=""),"",IF(AND($D70="○",$C70&lt;TODAY()),"",$C70-TODAY()))</f>
        <v/>
      </c>
      <c r="G70" s="7"/>
      <c r="H70" s="8"/>
      <c r="I70" s="2"/>
      <c r="J70" s="2"/>
      <c r="K70" s="8"/>
      <c r="L70" s="8"/>
    </row>
    <row r="71" customFormat="false" ht="19.5" hidden="false" customHeight="true" outlineLevel="0" collapsed="false">
      <c r="A71" s="2"/>
      <c r="B71" s="3"/>
      <c r="C71" s="3"/>
      <c r="D71" s="4"/>
      <c r="E71" s="5" t="str">
        <f aca="true">IF($A71="","",IF($D71="○","自動更新",IF($C71="","期限未設定",IF($C71&lt;TODAY(),"期限切れ",IF($C71-TODAY()&lt;=集計!$B$3,"期限間近","有効")))))</f>
        <v/>
      </c>
      <c r="F71" s="6" t="str">
        <f aca="true">IF(OR($A71="",$C71=""),"",IF(AND($D71="○",$C71&lt;TODAY()),"",$C71-TODAY()))</f>
        <v/>
      </c>
      <c r="G71" s="7"/>
      <c r="H71" s="8"/>
      <c r="I71" s="2"/>
      <c r="J71" s="2"/>
      <c r="K71" s="8"/>
      <c r="L71" s="8"/>
    </row>
    <row r="72" customFormat="false" ht="19.5" hidden="false" customHeight="true" outlineLevel="0" collapsed="false">
      <c r="A72" s="2"/>
      <c r="B72" s="3"/>
      <c r="C72" s="3"/>
      <c r="D72" s="4"/>
      <c r="E72" s="5" t="str">
        <f aca="true">IF($A72="","",IF($D72="○","自動更新",IF($C72="","期限未設定",IF($C72&lt;TODAY(),"期限切れ",IF($C72-TODAY()&lt;=集計!$B$3,"期限間近","有効")))))</f>
        <v/>
      </c>
      <c r="F72" s="6" t="str">
        <f aca="true">IF(OR($A72="",$C72=""),"",IF(AND($D72="○",$C72&lt;TODAY()),"",$C72-TODAY()))</f>
        <v/>
      </c>
      <c r="G72" s="7"/>
      <c r="H72" s="8"/>
      <c r="I72" s="2"/>
      <c r="J72" s="2"/>
      <c r="K72" s="8"/>
      <c r="L72" s="8"/>
    </row>
    <row r="73" customFormat="false" ht="19.5" hidden="false" customHeight="true" outlineLevel="0" collapsed="false">
      <c r="A73" s="2"/>
      <c r="B73" s="3"/>
      <c r="C73" s="3"/>
      <c r="D73" s="4"/>
      <c r="E73" s="5" t="str">
        <f aca="true">IF($A73="","",IF($D73="○","自動更新",IF($C73="","期限未設定",IF($C73&lt;TODAY(),"期限切れ",IF($C73-TODAY()&lt;=集計!$B$3,"期限間近","有効")))))</f>
        <v/>
      </c>
      <c r="F73" s="6" t="str">
        <f aca="true">IF(OR($A73="",$C73=""),"",IF(AND($D73="○",$C73&lt;TODAY()),"",$C73-TODAY()))</f>
        <v/>
      </c>
      <c r="G73" s="7"/>
      <c r="H73" s="8"/>
      <c r="I73" s="2"/>
      <c r="J73" s="2"/>
      <c r="K73" s="8"/>
      <c r="L73" s="8"/>
    </row>
    <row r="74" customFormat="false" ht="19.5" hidden="false" customHeight="true" outlineLevel="0" collapsed="false">
      <c r="A74" s="2"/>
      <c r="B74" s="3"/>
      <c r="C74" s="3"/>
      <c r="D74" s="4"/>
      <c r="E74" s="5" t="str">
        <f aca="true">IF($A74="","",IF($D74="○","自動更新",IF($C74="","期限未設定",IF($C74&lt;TODAY(),"期限切れ",IF($C74-TODAY()&lt;=集計!$B$3,"期限間近","有効")))))</f>
        <v/>
      </c>
      <c r="F74" s="6" t="str">
        <f aca="true">IF(OR($A74="",$C74=""),"",IF(AND($D74="○",$C74&lt;TODAY()),"",$C74-TODAY()))</f>
        <v/>
      </c>
      <c r="G74" s="7"/>
      <c r="H74" s="8"/>
      <c r="I74" s="2"/>
      <c r="J74" s="2"/>
      <c r="K74" s="8"/>
      <c r="L74" s="8"/>
    </row>
    <row r="75" customFormat="false" ht="19.5" hidden="false" customHeight="true" outlineLevel="0" collapsed="false">
      <c r="A75" s="2"/>
      <c r="B75" s="3"/>
      <c r="C75" s="3"/>
      <c r="D75" s="4"/>
      <c r="E75" s="5" t="str">
        <f aca="true">IF($A75="","",IF($D75="○","自動更新",IF($C75="","期限未設定",IF($C75&lt;TODAY(),"期限切れ",IF($C75-TODAY()&lt;=集計!$B$3,"期限間近","有効")))))</f>
        <v/>
      </c>
      <c r="F75" s="6" t="str">
        <f aca="true">IF(OR($A75="",$C75=""),"",IF(AND($D75="○",$C75&lt;TODAY()),"",$C75-TODAY()))</f>
        <v/>
      </c>
      <c r="G75" s="7"/>
      <c r="H75" s="8"/>
      <c r="I75" s="2"/>
      <c r="J75" s="2"/>
      <c r="K75" s="8"/>
      <c r="L75" s="8"/>
    </row>
    <row r="76" customFormat="false" ht="19.5" hidden="false" customHeight="true" outlineLevel="0" collapsed="false">
      <c r="A76" s="2"/>
      <c r="B76" s="3"/>
      <c r="C76" s="3"/>
      <c r="D76" s="4"/>
      <c r="E76" s="5" t="str">
        <f aca="true">IF($A76="","",IF($D76="○","自動更新",IF($C76="","期限未設定",IF($C76&lt;TODAY(),"期限切れ",IF($C76-TODAY()&lt;=集計!$B$3,"期限間近","有効")))))</f>
        <v/>
      </c>
      <c r="F76" s="6" t="str">
        <f aca="true">IF(OR($A76="",$C76=""),"",IF(AND($D76="○",$C76&lt;TODAY()),"",$C76-TODAY()))</f>
        <v/>
      </c>
      <c r="G76" s="7"/>
      <c r="H76" s="8"/>
      <c r="I76" s="2"/>
      <c r="J76" s="2"/>
      <c r="K76" s="8"/>
      <c r="L76" s="8"/>
    </row>
    <row r="77" customFormat="false" ht="19.5" hidden="false" customHeight="true" outlineLevel="0" collapsed="false">
      <c r="A77" s="2"/>
      <c r="B77" s="3"/>
      <c r="C77" s="3"/>
      <c r="D77" s="4"/>
      <c r="E77" s="5" t="str">
        <f aca="true">IF($A77="","",IF($D77="○","自動更新",IF($C77="","期限未設定",IF($C77&lt;TODAY(),"期限切れ",IF($C77-TODAY()&lt;=集計!$B$3,"期限間近","有効")))))</f>
        <v/>
      </c>
      <c r="F77" s="6" t="str">
        <f aca="true">IF(OR($A77="",$C77=""),"",IF(AND($D77="○",$C77&lt;TODAY()),"",$C77-TODAY()))</f>
        <v/>
      </c>
      <c r="G77" s="7"/>
      <c r="H77" s="8"/>
      <c r="I77" s="2"/>
      <c r="J77" s="2"/>
      <c r="K77" s="8"/>
      <c r="L77" s="8"/>
    </row>
    <row r="78" customFormat="false" ht="19.5" hidden="false" customHeight="true" outlineLevel="0" collapsed="false">
      <c r="A78" s="2"/>
      <c r="B78" s="3"/>
      <c r="C78" s="3"/>
      <c r="D78" s="4"/>
      <c r="E78" s="5" t="str">
        <f aca="true">IF($A78="","",IF($D78="○","自動更新",IF($C78="","期限未設定",IF($C78&lt;TODAY(),"期限切れ",IF($C78-TODAY()&lt;=集計!$B$3,"期限間近","有効")))))</f>
        <v/>
      </c>
      <c r="F78" s="6" t="str">
        <f aca="true">IF(OR($A78="",$C78=""),"",IF(AND($D78="○",$C78&lt;TODAY()),"",$C78-TODAY()))</f>
        <v/>
      </c>
      <c r="G78" s="7"/>
      <c r="H78" s="8"/>
      <c r="I78" s="2"/>
      <c r="J78" s="2"/>
      <c r="K78" s="8"/>
      <c r="L78" s="8"/>
    </row>
    <row r="79" customFormat="false" ht="19.5" hidden="false" customHeight="true" outlineLevel="0" collapsed="false">
      <c r="A79" s="2"/>
      <c r="B79" s="3"/>
      <c r="C79" s="3"/>
      <c r="D79" s="4"/>
      <c r="E79" s="5" t="str">
        <f aca="true">IF($A79="","",IF($D79="○","自動更新",IF($C79="","期限未設定",IF($C79&lt;TODAY(),"期限切れ",IF($C79-TODAY()&lt;=集計!$B$3,"期限間近","有効")))))</f>
        <v/>
      </c>
      <c r="F79" s="6" t="str">
        <f aca="true">IF(OR($A79="",$C79=""),"",IF(AND($D79="○",$C79&lt;TODAY()),"",$C79-TODAY()))</f>
        <v/>
      </c>
      <c r="G79" s="7"/>
      <c r="H79" s="8"/>
      <c r="I79" s="2"/>
      <c r="J79" s="2"/>
      <c r="K79" s="8"/>
      <c r="L79" s="8"/>
    </row>
    <row r="80" customFormat="false" ht="19.5" hidden="false" customHeight="true" outlineLevel="0" collapsed="false">
      <c r="A80" s="2"/>
      <c r="B80" s="3"/>
      <c r="C80" s="3"/>
      <c r="D80" s="4"/>
      <c r="E80" s="5" t="str">
        <f aca="true">IF($A80="","",IF($D80="○","自動更新",IF($C80="","期限未設定",IF($C80&lt;TODAY(),"期限切れ",IF($C80-TODAY()&lt;=集計!$B$3,"期限間近","有効")))))</f>
        <v/>
      </c>
      <c r="F80" s="6" t="str">
        <f aca="true">IF(OR($A80="",$C80=""),"",IF(AND($D80="○",$C80&lt;TODAY()),"",$C80-TODAY()))</f>
        <v/>
      </c>
      <c r="G80" s="7"/>
      <c r="H80" s="8"/>
      <c r="I80" s="2"/>
      <c r="J80" s="2"/>
      <c r="K80" s="8"/>
      <c r="L80" s="8"/>
    </row>
    <row r="81" customFormat="false" ht="19.5" hidden="false" customHeight="true" outlineLevel="0" collapsed="false">
      <c r="A81" s="2"/>
      <c r="B81" s="3"/>
      <c r="C81" s="3"/>
      <c r="D81" s="4"/>
      <c r="E81" s="5" t="str">
        <f aca="true">IF($A81="","",IF($D81="○","自動更新",IF($C81="","期限未設定",IF($C81&lt;TODAY(),"期限切れ",IF($C81-TODAY()&lt;=集計!$B$3,"期限間近","有効")))))</f>
        <v/>
      </c>
      <c r="F81" s="6" t="str">
        <f aca="true">IF(OR($A81="",$C81=""),"",IF(AND($D81="○",$C81&lt;TODAY()),"",$C81-TODAY()))</f>
        <v/>
      </c>
      <c r="G81" s="7"/>
      <c r="H81" s="8"/>
      <c r="I81" s="2"/>
      <c r="J81" s="2"/>
      <c r="K81" s="8"/>
      <c r="L81" s="8"/>
    </row>
    <row r="82" customFormat="false" ht="19.5" hidden="false" customHeight="true" outlineLevel="0" collapsed="false">
      <c r="A82" s="2"/>
      <c r="B82" s="3"/>
      <c r="C82" s="3"/>
      <c r="D82" s="4"/>
      <c r="E82" s="5" t="str">
        <f aca="true">IF($A82="","",IF($D82="○","自動更新",IF($C82="","期限未設定",IF($C82&lt;TODAY(),"期限切れ",IF($C82-TODAY()&lt;=集計!$B$3,"期限間近","有効")))))</f>
        <v/>
      </c>
      <c r="F82" s="6" t="str">
        <f aca="true">IF(OR($A82="",$C82=""),"",IF(AND($D82="○",$C82&lt;TODAY()),"",$C82-TODAY()))</f>
        <v/>
      </c>
      <c r="G82" s="7"/>
      <c r="H82" s="8"/>
      <c r="I82" s="2"/>
      <c r="J82" s="2"/>
      <c r="K82" s="8"/>
      <c r="L82" s="8"/>
    </row>
    <row r="83" customFormat="false" ht="19.5" hidden="false" customHeight="true" outlineLevel="0" collapsed="false">
      <c r="A83" s="2"/>
      <c r="B83" s="3"/>
      <c r="C83" s="3"/>
      <c r="D83" s="4"/>
      <c r="E83" s="5" t="str">
        <f aca="true">IF($A83="","",IF($D83="○","自動更新",IF($C83="","期限未設定",IF($C83&lt;TODAY(),"期限切れ",IF($C83-TODAY()&lt;=集計!$B$3,"期限間近","有効")))))</f>
        <v/>
      </c>
      <c r="F83" s="6" t="str">
        <f aca="true">IF(OR($A83="",$C83=""),"",IF(AND($D83="○",$C83&lt;TODAY()),"",$C83-TODAY()))</f>
        <v/>
      </c>
      <c r="G83" s="7"/>
      <c r="H83" s="8"/>
      <c r="I83" s="2"/>
      <c r="J83" s="2"/>
      <c r="K83" s="8"/>
      <c r="L83" s="8"/>
    </row>
    <row r="84" customFormat="false" ht="19.5" hidden="false" customHeight="true" outlineLevel="0" collapsed="false">
      <c r="A84" s="2"/>
      <c r="B84" s="3"/>
      <c r="C84" s="3"/>
      <c r="D84" s="4"/>
      <c r="E84" s="5" t="str">
        <f aca="true">IF($A84="","",IF($D84="○","自動更新",IF($C84="","期限未設定",IF($C84&lt;TODAY(),"期限切れ",IF($C84-TODAY()&lt;=集計!$B$3,"期限間近","有効")))))</f>
        <v/>
      </c>
      <c r="F84" s="6" t="str">
        <f aca="true">IF(OR($A84="",$C84=""),"",IF(AND($D84="○",$C84&lt;TODAY()),"",$C84-TODAY()))</f>
        <v/>
      </c>
      <c r="G84" s="7"/>
      <c r="H84" s="8"/>
      <c r="I84" s="2"/>
      <c r="J84" s="2"/>
      <c r="K84" s="8"/>
      <c r="L84" s="8"/>
    </row>
    <row r="85" customFormat="false" ht="19.5" hidden="false" customHeight="true" outlineLevel="0" collapsed="false">
      <c r="A85" s="2"/>
      <c r="B85" s="3"/>
      <c r="C85" s="3"/>
      <c r="D85" s="4"/>
      <c r="E85" s="5" t="str">
        <f aca="true">IF($A85="","",IF($D85="○","自動更新",IF($C85="","期限未設定",IF($C85&lt;TODAY(),"期限切れ",IF($C85-TODAY()&lt;=集計!$B$3,"期限間近","有効")))))</f>
        <v/>
      </c>
      <c r="F85" s="6" t="str">
        <f aca="true">IF(OR($A85="",$C85=""),"",IF(AND($D85="○",$C85&lt;TODAY()),"",$C85-TODAY()))</f>
        <v/>
      </c>
      <c r="G85" s="7"/>
      <c r="H85" s="8"/>
      <c r="I85" s="2"/>
      <c r="J85" s="2"/>
      <c r="K85" s="8"/>
      <c r="L85" s="8"/>
    </row>
    <row r="86" customFormat="false" ht="19.5" hidden="false" customHeight="true" outlineLevel="0" collapsed="false">
      <c r="A86" s="2"/>
      <c r="B86" s="3"/>
      <c r="C86" s="3"/>
      <c r="D86" s="4"/>
      <c r="E86" s="5" t="str">
        <f aca="true">IF($A86="","",IF($D86="○","自動更新",IF($C86="","期限未設定",IF($C86&lt;TODAY(),"期限切れ",IF($C86-TODAY()&lt;=集計!$B$3,"期限間近","有効")))))</f>
        <v/>
      </c>
      <c r="F86" s="6" t="str">
        <f aca="true">IF(OR($A86="",$C86=""),"",IF(AND($D86="○",$C86&lt;TODAY()),"",$C86-TODAY()))</f>
        <v/>
      </c>
      <c r="G86" s="7"/>
      <c r="H86" s="8"/>
      <c r="I86" s="2"/>
      <c r="J86" s="2"/>
      <c r="K86" s="8"/>
      <c r="L86" s="8"/>
    </row>
    <row r="87" customFormat="false" ht="19.5" hidden="false" customHeight="true" outlineLevel="0" collapsed="false">
      <c r="A87" s="2"/>
      <c r="B87" s="3"/>
      <c r="C87" s="3"/>
      <c r="D87" s="4"/>
      <c r="E87" s="5" t="str">
        <f aca="true">IF($A87="","",IF($D87="○","自動更新",IF($C87="","期限未設定",IF($C87&lt;TODAY(),"期限切れ",IF($C87-TODAY()&lt;=集計!$B$3,"期限間近","有効")))))</f>
        <v/>
      </c>
      <c r="F87" s="6" t="str">
        <f aca="true">IF(OR($A87="",$C87=""),"",IF(AND($D87="○",$C87&lt;TODAY()),"",$C87-TODAY()))</f>
        <v/>
      </c>
      <c r="G87" s="7"/>
      <c r="H87" s="8"/>
      <c r="I87" s="2"/>
      <c r="J87" s="2"/>
      <c r="K87" s="8"/>
      <c r="L87" s="8"/>
    </row>
    <row r="88" customFormat="false" ht="19.5" hidden="false" customHeight="true" outlineLevel="0" collapsed="false">
      <c r="A88" s="2"/>
      <c r="B88" s="3"/>
      <c r="C88" s="3"/>
      <c r="D88" s="4"/>
      <c r="E88" s="5" t="str">
        <f aca="true">IF($A88="","",IF($D88="○","自動更新",IF($C88="","期限未設定",IF($C88&lt;TODAY(),"期限切れ",IF($C88-TODAY()&lt;=集計!$B$3,"期限間近","有効")))))</f>
        <v/>
      </c>
      <c r="F88" s="6" t="str">
        <f aca="true">IF(OR($A88="",$C88=""),"",IF(AND($D88="○",$C88&lt;TODAY()),"",$C88-TODAY()))</f>
        <v/>
      </c>
      <c r="G88" s="7"/>
      <c r="H88" s="8"/>
      <c r="I88" s="2"/>
      <c r="J88" s="2"/>
      <c r="K88" s="8"/>
      <c r="L88" s="8"/>
    </row>
    <row r="89" customFormat="false" ht="19.5" hidden="false" customHeight="true" outlineLevel="0" collapsed="false">
      <c r="A89" s="2"/>
      <c r="B89" s="3"/>
      <c r="C89" s="3"/>
      <c r="D89" s="4"/>
      <c r="E89" s="5" t="str">
        <f aca="true">IF($A89="","",IF($D89="○","自動更新",IF($C89="","期限未設定",IF($C89&lt;TODAY(),"期限切れ",IF($C89-TODAY()&lt;=集計!$B$3,"期限間近","有効")))))</f>
        <v/>
      </c>
      <c r="F89" s="6" t="str">
        <f aca="true">IF(OR($A89="",$C89=""),"",IF(AND($D89="○",$C89&lt;TODAY()),"",$C89-TODAY()))</f>
        <v/>
      </c>
      <c r="G89" s="7"/>
      <c r="H89" s="8"/>
      <c r="I89" s="2"/>
      <c r="J89" s="2"/>
      <c r="K89" s="8"/>
      <c r="L89" s="8"/>
    </row>
    <row r="90" customFormat="false" ht="19.5" hidden="false" customHeight="true" outlineLevel="0" collapsed="false">
      <c r="A90" s="2"/>
      <c r="B90" s="3"/>
      <c r="C90" s="3"/>
      <c r="D90" s="4"/>
      <c r="E90" s="5" t="str">
        <f aca="true">IF($A90="","",IF($D90="○","自動更新",IF($C90="","期限未設定",IF($C90&lt;TODAY(),"期限切れ",IF($C90-TODAY()&lt;=集計!$B$3,"期限間近","有効")))))</f>
        <v/>
      </c>
      <c r="F90" s="6" t="str">
        <f aca="true">IF(OR($A90="",$C90=""),"",IF(AND($D90="○",$C90&lt;TODAY()),"",$C90-TODAY()))</f>
        <v/>
      </c>
      <c r="G90" s="7"/>
      <c r="H90" s="8"/>
      <c r="I90" s="2"/>
      <c r="J90" s="2"/>
      <c r="K90" s="8"/>
      <c r="L90" s="8"/>
    </row>
    <row r="91" customFormat="false" ht="19.5" hidden="false" customHeight="true" outlineLevel="0" collapsed="false">
      <c r="A91" s="2"/>
      <c r="B91" s="3"/>
      <c r="C91" s="3"/>
      <c r="D91" s="4"/>
      <c r="E91" s="5" t="str">
        <f aca="true">IF($A91="","",IF($D91="○","自動更新",IF($C91="","期限未設定",IF($C91&lt;TODAY(),"期限切れ",IF($C91-TODAY()&lt;=集計!$B$3,"期限間近","有効")))))</f>
        <v/>
      </c>
      <c r="F91" s="6" t="str">
        <f aca="true">IF(OR($A91="",$C91=""),"",IF(AND($D91="○",$C91&lt;TODAY()),"",$C91-TODAY()))</f>
        <v/>
      </c>
      <c r="G91" s="7"/>
      <c r="H91" s="8"/>
      <c r="I91" s="2"/>
      <c r="J91" s="2"/>
      <c r="K91" s="8"/>
      <c r="L91" s="8"/>
    </row>
    <row r="92" customFormat="false" ht="19.5" hidden="false" customHeight="true" outlineLevel="0" collapsed="false">
      <c r="A92" s="2"/>
      <c r="B92" s="3"/>
      <c r="C92" s="3"/>
      <c r="D92" s="4"/>
      <c r="E92" s="5" t="str">
        <f aca="true">IF($A92="","",IF($D92="○","自動更新",IF($C92="","期限未設定",IF($C92&lt;TODAY(),"期限切れ",IF($C92-TODAY()&lt;=集計!$B$3,"期限間近","有効")))))</f>
        <v/>
      </c>
      <c r="F92" s="6" t="str">
        <f aca="true">IF(OR($A92="",$C92=""),"",IF(AND($D92="○",$C92&lt;TODAY()),"",$C92-TODAY()))</f>
        <v/>
      </c>
      <c r="G92" s="7"/>
      <c r="H92" s="8"/>
      <c r="I92" s="2"/>
      <c r="J92" s="2"/>
      <c r="K92" s="8"/>
      <c r="L92" s="8"/>
    </row>
    <row r="93" customFormat="false" ht="19.5" hidden="false" customHeight="true" outlineLevel="0" collapsed="false">
      <c r="A93" s="2"/>
      <c r="B93" s="3"/>
      <c r="C93" s="3"/>
      <c r="D93" s="4"/>
      <c r="E93" s="5" t="str">
        <f aca="true">IF($A93="","",IF($D93="○","自動更新",IF($C93="","期限未設定",IF($C93&lt;TODAY(),"期限切れ",IF($C93-TODAY()&lt;=集計!$B$3,"期限間近","有効")))))</f>
        <v/>
      </c>
      <c r="F93" s="6" t="str">
        <f aca="true">IF(OR($A93="",$C93=""),"",IF(AND($D93="○",$C93&lt;TODAY()),"",$C93-TODAY()))</f>
        <v/>
      </c>
      <c r="G93" s="7"/>
      <c r="H93" s="8"/>
      <c r="I93" s="2"/>
      <c r="J93" s="2"/>
      <c r="K93" s="8"/>
      <c r="L93" s="8"/>
    </row>
    <row r="94" customFormat="false" ht="19.5" hidden="false" customHeight="true" outlineLevel="0" collapsed="false">
      <c r="A94" s="2"/>
      <c r="B94" s="3"/>
      <c r="C94" s="3"/>
      <c r="D94" s="4"/>
      <c r="E94" s="5" t="str">
        <f aca="true">IF($A94="","",IF($D94="○","自動更新",IF($C94="","期限未設定",IF($C94&lt;TODAY(),"期限切れ",IF($C94-TODAY()&lt;=集計!$B$3,"期限間近","有効")))))</f>
        <v/>
      </c>
      <c r="F94" s="6" t="str">
        <f aca="true">IF(OR($A94="",$C94=""),"",IF(AND($D94="○",$C94&lt;TODAY()),"",$C94-TODAY()))</f>
        <v/>
      </c>
      <c r="G94" s="7"/>
      <c r="H94" s="8"/>
      <c r="I94" s="2"/>
      <c r="J94" s="2"/>
      <c r="K94" s="8"/>
      <c r="L94" s="8"/>
    </row>
    <row r="95" customFormat="false" ht="19.5" hidden="false" customHeight="true" outlineLevel="0" collapsed="false">
      <c r="A95" s="2"/>
      <c r="B95" s="3"/>
      <c r="C95" s="3"/>
      <c r="D95" s="4"/>
      <c r="E95" s="5" t="str">
        <f aca="true">IF($A95="","",IF($D95="○","自動更新",IF($C95="","期限未設定",IF($C95&lt;TODAY(),"期限切れ",IF($C95-TODAY()&lt;=集計!$B$3,"期限間近","有効")))))</f>
        <v/>
      </c>
      <c r="F95" s="6" t="str">
        <f aca="true">IF(OR($A95="",$C95=""),"",IF(AND($D95="○",$C95&lt;TODAY()),"",$C95-TODAY()))</f>
        <v/>
      </c>
      <c r="G95" s="7"/>
      <c r="H95" s="8"/>
      <c r="I95" s="2"/>
      <c r="J95" s="2"/>
      <c r="K95" s="8"/>
      <c r="L95" s="8"/>
    </row>
    <row r="96" customFormat="false" ht="19.5" hidden="false" customHeight="true" outlineLevel="0" collapsed="false">
      <c r="A96" s="2"/>
      <c r="B96" s="3"/>
      <c r="C96" s="3"/>
      <c r="D96" s="4"/>
      <c r="E96" s="5" t="str">
        <f aca="true">IF($A96="","",IF($D96="○","自動更新",IF($C96="","期限未設定",IF($C96&lt;TODAY(),"期限切れ",IF($C96-TODAY()&lt;=集計!$B$3,"期限間近","有効")))))</f>
        <v/>
      </c>
      <c r="F96" s="6" t="str">
        <f aca="true">IF(OR($A96="",$C96=""),"",IF(AND($D96="○",$C96&lt;TODAY()),"",$C96-TODAY()))</f>
        <v/>
      </c>
      <c r="G96" s="7"/>
      <c r="H96" s="8"/>
      <c r="I96" s="2"/>
      <c r="J96" s="2"/>
      <c r="K96" s="8"/>
      <c r="L96" s="8"/>
    </row>
    <row r="97" customFormat="false" ht="19.5" hidden="false" customHeight="true" outlineLevel="0" collapsed="false">
      <c r="A97" s="2"/>
      <c r="B97" s="3"/>
      <c r="C97" s="3"/>
      <c r="D97" s="4"/>
      <c r="E97" s="5" t="str">
        <f aca="true">IF($A97="","",IF($D97="○","自動更新",IF($C97="","期限未設定",IF($C97&lt;TODAY(),"期限切れ",IF($C97-TODAY()&lt;=集計!$B$3,"期限間近","有効")))))</f>
        <v/>
      </c>
      <c r="F97" s="6" t="str">
        <f aca="true">IF(OR($A97="",$C97=""),"",IF(AND($D97="○",$C97&lt;TODAY()),"",$C97-TODAY()))</f>
        <v/>
      </c>
      <c r="G97" s="7"/>
      <c r="H97" s="8"/>
      <c r="I97" s="2"/>
      <c r="J97" s="2"/>
      <c r="K97" s="8"/>
      <c r="L97" s="8"/>
    </row>
    <row r="98" customFormat="false" ht="19.5" hidden="false" customHeight="true" outlineLevel="0" collapsed="false">
      <c r="A98" s="2"/>
      <c r="B98" s="3"/>
      <c r="C98" s="3"/>
      <c r="D98" s="4"/>
      <c r="E98" s="5" t="str">
        <f aca="true">IF($A98="","",IF($D98="○","自動更新",IF($C98="","期限未設定",IF($C98&lt;TODAY(),"期限切れ",IF($C98-TODAY()&lt;=集計!$B$3,"期限間近","有効")))))</f>
        <v/>
      </c>
      <c r="F98" s="6" t="str">
        <f aca="true">IF(OR($A98="",$C98=""),"",IF(AND($D98="○",$C98&lt;TODAY()),"",$C98-TODAY()))</f>
        <v/>
      </c>
      <c r="G98" s="7"/>
      <c r="H98" s="8"/>
      <c r="I98" s="2"/>
      <c r="J98" s="2"/>
      <c r="K98" s="8"/>
      <c r="L98" s="8"/>
    </row>
    <row r="99" customFormat="false" ht="19.5" hidden="false" customHeight="true" outlineLevel="0" collapsed="false">
      <c r="A99" s="2"/>
      <c r="B99" s="3"/>
      <c r="C99" s="3"/>
      <c r="D99" s="4"/>
      <c r="E99" s="5" t="str">
        <f aca="true">IF($A99="","",IF($D99="○","自動更新",IF($C99="","期限未設定",IF($C99&lt;TODAY(),"期限切れ",IF($C99-TODAY()&lt;=集計!$B$3,"期限間近","有効")))))</f>
        <v/>
      </c>
      <c r="F99" s="6" t="str">
        <f aca="true">IF(OR($A99="",$C99=""),"",IF(AND($D99="○",$C99&lt;TODAY()),"",$C99-TODAY()))</f>
        <v/>
      </c>
      <c r="G99" s="7"/>
      <c r="H99" s="8"/>
      <c r="I99" s="2"/>
      <c r="J99" s="2"/>
      <c r="K99" s="8"/>
      <c r="L99" s="8"/>
    </row>
    <row r="100" customFormat="false" ht="19.5" hidden="false" customHeight="true" outlineLevel="0" collapsed="false">
      <c r="A100" s="2"/>
      <c r="B100" s="3"/>
      <c r="C100" s="3"/>
      <c r="D100" s="4"/>
      <c r="E100" s="5" t="str">
        <f aca="true">IF($A100="","",IF($D100="○","自動更新",IF($C100="","期限未設定",IF($C100&lt;TODAY(),"期限切れ",IF($C100-TODAY()&lt;=集計!$B$3,"期限間近","有効")))))</f>
        <v/>
      </c>
      <c r="F100" s="6" t="str">
        <f aca="true">IF(OR($A100="",$C100=""),"",IF(AND($D100="○",$C100&lt;TODAY()),"",$C100-TODAY()))</f>
        <v/>
      </c>
      <c r="G100" s="7"/>
      <c r="H100" s="8"/>
      <c r="I100" s="2"/>
      <c r="J100" s="2"/>
      <c r="K100" s="8"/>
      <c r="L100" s="8"/>
    </row>
    <row r="101" customFormat="false" ht="19.5" hidden="false" customHeight="true" outlineLevel="0" collapsed="false">
      <c r="A101" s="2"/>
      <c r="B101" s="3"/>
      <c r="C101" s="3"/>
      <c r="D101" s="4"/>
      <c r="E101" s="5" t="str">
        <f aca="true">IF($A101="","",IF($D101="○","自動更新",IF($C101="","期限未設定",IF($C101&lt;TODAY(),"期限切れ",IF($C101-TODAY()&lt;=集計!$B$3,"期限間近","有効")))))</f>
        <v/>
      </c>
      <c r="F101" s="6" t="str">
        <f aca="true">IF(OR($A101="",$C101=""),"",IF(AND($D101="○",$C101&lt;TODAY()),"",$C101-TODAY()))</f>
        <v/>
      </c>
      <c r="G101" s="7"/>
      <c r="H101" s="8"/>
      <c r="I101" s="2"/>
      <c r="J101" s="2"/>
      <c r="K101" s="8"/>
      <c r="L101" s="8"/>
    </row>
    <row r="102" customFormat="false" ht="19.5" hidden="false" customHeight="true" outlineLevel="0" collapsed="false">
      <c r="A102" s="2"/>
      <c r="B102" s="3"/>
      <c r="C102" s="3"/>
      <c r="D102" s="4"/>
      <c r="E102" s="5" t="str">
        <f aca="true">IF($A102="","",IF($D102="○","自動更新",IF($C102="","期限未設定",IF($C102&lt;TODAY(),"期限切れ",IF($C102-TODAY()&lt;=集計!$B$3,"期限間近","有効")))))</f>
        <v/>
      </c>
      <c r="F102" s="6" t="str">
        <f aca="true">IF(OR($A102="",$C102=""),"",IF(AND($D102="○",$C102&lt;TODAY()),"",$C102-TODAY()))</f>
        <v/>
      </c>
      <c r="G102" s="7"/>
      <c r="H102" s="8"/>
      <c r="I102" s="2"/>
      <c r="J102" s="2"/>
      <c r="K102" s="8"/>
      <c r="L102" s="8"/>
    </row>
    <row r="103" customFormat="false" ht="19.5" hidden="false" customHeight="true" outlineLevel="0" collapsed="false">
      <c r="A103" s="2"/>
      <c r="B103" s="3"/>
      <c r="C103" s="3"/>
      <c r="D103" s="4"/>
      <c r="E103" s="5" t="str">
        <f aca="true">IF($A103="","",IF($D103="○","自動更新",IF($C103="","期限未設定",IF($C103&lt;TODAY(),"期限切れ",IF($C103-TODAY()&lt;=集計!$B$3,"期限間近","有効")))))</f>
        <v/>
      </c>
      <c r="F103" s="6" t="str">
        <f aca="true">IF(OR($A103="",$C103=""),"",IF(AND($D103="○",$C103&lt;TODAY()),"",$C103-TODAY()))</f>
        <v/>
      </c>
      <c r="G103" s="7"/>
      <c r="H103" s="8"/>
      <c r="I103" s="2"/>
      <c r="J103" s="2"/>
      <c r="K103" s="8"/>
      <c r="L103" s="8"/>
    </row>
    <row r="104" customFormat="false" ht="19.5" hidden="false" customHeight="true" outlineLevel="0" collapsed="false">
      <c r="A104" s="2"/>
      <c r="B104" s="3"/>
      <c r="C104" s="3"/>
      <c r="D104" s="4"/>
      <c r="E104" s="5" t="str">
        <f aca="true">IF($A104="","",IF($D104="○","自動更新",IF($C104="","期限未設定",IF($C104&lt;TODAY(),"期限切れ",IF($C104-TODAY()&lt;=集計!$B$3,"期限間近","有効")))))</f>
        <v/>
      </c>
      <c r="F104" s="6" t="str">
        <f aca="true">IF(OR($A104="",$C104=""),"",IF(AND($D104="○",$C104&lt;TODAY()),"",$C104-TODAY()))</f>
        <v/>
      </c>
      <c r="G104" s="7"/>
      <c r="H104" s="8"/>
      <c r="I104" s="2"/>
      <c r="J104" s="2"/>
      <c r="K104" s="8"/>
      <c r="L104" s="8"/>
    </row>
    <row r="105" customFormat="false" ht="19.5" hidden="false" customHeight="true" outlineLevel="0" collapsed="false">
      <c r="A105" s="2"/>
      <c r="B105" s="3"/>
      <c r="C105" s="3"/>
      <c r="D105" s="4"/>
      <c r="E105" s="5" t="str">
        <f aca="true">IF($A105="","",IF($D105="○","自動更新",IF($C105="","期限未設定",IF($C105&lt;TODAY(),"期限切れ",IF($C105-TODAY()&lt;=集計!$B$3,"期限間近","有効")))))</f>
        <v/>
      </c>
      <c r="F105" s="6" t="str">
        <f aca="true">IF(OR($A105="",$C105=""),"",IF(AND($D105="○",$C105&lt;TODAY()),"",$C105-TODAY()))</f>
        <v/>
      </c>
      <c r="G105" s="7"/>
      <c r="H105" s="8"/>
      <c r="I105" s="2"/>
      <c r="J105" s="2"/>
      <c r="K105" s="8"/>
      <c r="L105" s="8"/>
    </row>
    <row r="106" customFormat="false" ht="19.5" hidden="false" customHeight="true" outlineLevel="0" collapsed="false">
      <c r="A106" s="2"/>
      <c r="B106" s="3"/>
      <c r="C106" s="3"/>
      <c r="D106" s="4"/>
      <c r="E106" s="5" t="str">
        <f aca="true">IF($A106="","",IF($D106="○","自動更新",IF($C106="","期限未設定",IF($C106&lt;TODAY(),"期限切れ",IF($C106-TODAY()&lt;=集計!$B$3,"期限間近","有効")))))</f>
        <v/>
      </c>
      <c r="F106" s="6" t="str">
        <f aca="true">IF(OR($A106="",$C106=""),"",IF(AND($D106="○",$C106&lt;TODAY()),"",$C106-TODAY()))</f>
        <v/>
      </c>
      <c r="G106" s="7"/>
      <c r="H106" s="8"/>
      <c r="I106" s="2"/>
      <c r="J106" s="2"/>
      <c r="K106" s="8"/>
      <c r="L106" s="8"/>
    </row>
    <row r="107" customFormat="false" ht="19.5" hidden="false" customHeight="true" outlineLevel="0" collapsed="false">
      <c r="A107" s="2"/>
      <c r="B107" s="3"/>
      <c r="C107" s="3"/>
      <c r="D107" s="4"/>
      <c r="E107" s="5" t="str">
        <f aca="true">IF($A107="","",IF($D107="○","自動更新",IF($C107="","期限未設定",IF($C107&lt;TODAY(),"期限切れ",IF($C107-TODAY()&lt;=集計!$B$3,"期限間近","有効")))))</f>
        <v/>
      </c>
      <c r="F107" s="6" t="str">
        <f aca="true">IF(OR($A107="",$C107=""),"",IF(AND($D107="○",$C107&lt;TODAY()),"",$C107-TODAY()))</f>
        <v/>
      </c>
      <c r="G107" s="7"/>
      <c r="H107" s="8"/>
      <c r="I107" s="2"/>
      <c r="J107" s="2"/>
      <c r="K107" s="8"/>
      <c r="L107" s="8"/>
    </row>
    <row r="108" customFormat="false" ht="19.5" hidden="false" customHeight="true" outlineLevel="0" collapsed="false">
      <c r="A108" s="2"/>
      <c r="B108" s="3"/>
      <c r="C108" s="3"/>
      <c r="D108" s="4"/>
      <c r="E108" s="5" t="str">
        <f aca="true">IF($A108="","",IF($D108="○","自動更新",IF($C108="","期限未設定",IF($C108&lt;TODAY(),"期限切れ",IF($C108-TODAY()&lt;=集計!$B$3,"期限間近","有効")))))</f>
        <v/>
      </c>
      <c r="F108" s="6" t="str">
        <f aca="true">IF(OR($A108="",$C108=""),"",IF(AND($D108="○",$C108&lt;TODAY()),"",$C108-TODAY()))</f>
        <v/>
      </c>
      <c r="G108" s="7"/>
      <c r="H108" s="8"/>
      <c r="I108" s="2"/>
      <c r="J108" s="2"/>
      <c r="K108" s="8"/>
      <c r="L108" s="8"/>
    </row>
    <row r="109" customFormat="false" ht="19.5" hidden="false" customHeight="true" outlineLevel="0" collapsed="false">
      <c r="A109" s="2"/>
      <c r="B109" s="3"/>
      <c r="C109" s="3"/>
      <c r="D109" s="4"/>
      <c r="E109" s="5" t="str">
        <f aca="true">IF($A109="","",IF($D109="○","自動更新",IF($C109="","期限未設定",IF($C109&lt;TODAY(),"期限切れ",IF($C109-TODAY()&lt;=集計!$B$3,"期限間近","有効")))))</f>
        <v/>
      </c>
      <c r="F109" s="6" t="str">
        <f aca="true">IF(OR($A109="",$C109=""),"",IF(AND($D109="○",$C109&lt;TODAY()),"",$C109-TODAY()))</f>
        <v/>
      </c>
      <c r="G109" s="7"/>
      <c r="H109" s="8"/>
      <c r="I109" s="2"/>
      <c r="J109" s="2"/>
      <c r="K109" s="8"/>
      <c r="L109" s="8"/>
    </row>
    <row r="110" customFormat="false" ht="19.5" hidden="false" customHeight="true" outlineLevel="0" collapsed="false">
      <c r="A110" s="2"/>
      <c r="B110" s="3"/>
      <c r="C110" s="3"/>
      <c r="D110" s="4"/>
      <c r="E110" s="5" t="str">
        <f aca="true">IF($A110="","",IF($D110="○","自動更新",IF($C110="","期限未設定",IF($C110&lt;TODAY(),"期限切れ",IF($C110-TODAY()&lt;=集計!$B$3,"期限間近","有効")))))</f>
        <v/>
      </c>
      <c r="F110" s="6" t="str">
        <f aca="true">IF(OR($A110="",$C110=""),"",IF(AND($D110="○",$C110&lt;TODAY()),"",$C110-TODAY()))</f>
        <v/>
      </c>
      <c r="G110" s="7"/>
      <c r="H110" s="8"/>
      <c r="I110" s="2"/>
      <c r="J110" s="2"/>
      <c r="K110" s="8"/>
      <c r="L110" s="8"/>
    </row>
    <row r="111" customFormat="false" ht="19.5" hidden="false" customHeight="true" outlineLevel="0" collapsed="false">
      <c r="A111" s="2"/>
      <c r="B111" s="3"/>
      <c r="C111" s="3"/>
      <c r="D111" s="4"/>
      <c r="E111" s="5" t="str">
        <f aca="true">IF($A111="","",IF($D111="○","自動更新",IF($C111="","期限未設定",IF($C111&lt;TODAY(),"期限切れ",IF($C111-TODAY()&lt;=集計!$B$3,"期限間近","有効")))))</f>
        <v/>
      </c>
      <c r="F111" s="6" t="str">
        <f aca="true">IF(OR($A111="",$C111=""),"",IF(AND($D111="○",$C111&lt;TODAY()),"",$C111-TODAY()))</f>
        <v/>
      </c>
      <c r="G111" s="7"/>
      <c r="H111" s="8"/>
      <c r="I111" s="2"/>
      <c r="J111" s="2"/>
      <c r="K111" s="8"/>
      <c r="L111" s="8"/>
    </row>
    <row r="112" customFormat="false" ht="19.5" hidden="false" customHeight="true" outlineLevel="0" collapsed="false">
      <c r="A112" s="2"/>
      <c r="B112" s="3"/>
      <c r="C112" s="3"/>
      <c r="D112" s="4"/>
      <c r="E112" s="5" t="str">
        <f aca="true">IF($A112="","",IF($D112="○","自動更新",IF($C112="","期限未設定",IF($C112&lt;TODAY(),"期限切れ",IF($C112-TODAY()&lt;=集計!$B$3,"期限間近","有効")))))</f>
        <v/>
      </c>
      <c r="F112" s="6" t="str">
        <f aca="true">IF(OR($A112="",$C112=""),"",IF(AND($D112="○",$C112&lt;TODAY()),"",$C112-TODAY()))</f>
        <v/>
      </c>
      <c r="G112" s="7"/>
      <c r="H112" s="8"/>
      <c r="I112" s="2"/>
      <c r="J112" s="2"/>
      <c r="K112" s="8"/>
      <c r="L112" s="8"/>
    </row>
    <row r="113" customFormat="false" ht="19.5" hidden="false" customHeight="true" outlineLevel="0" collapsed="false">
      <c r="A113" s="2"/>
      <c r="B113" s="3"/>
      <c r="C113" s="3"/>
      <c r="D113" s="4"/>
      <c r="E113" s="5" t="str">
        <f aca="true">IF($A113="","",IF($D113="○","自動更新",IF($C113="","期限未設定",IF($C113&lt;TODAY(),"期限切れ",IF($C113-TODAY()&lt;=集計!$B$3,"期限間近","有効")))))</f>
        <v/>
      </c>
      <c r="F113" s="6" t="str">
        <f aca="true">IF(OR($A113="",$C113=""),"",IF(AND($D113="○",$C113&lt;TODAY()),"",$C113-TODAY()))</f>
        <v/>
      </c>
      <c r="G113" s="7"/>
      <c r="H113" s="8"/>
      <c r="I113" s="2"/>
      <c r="J113" s="2"/>
      <c r="K113" s="8"/>
      <c r="L113" s="8"/>
    </row>
    <row r="114" customFormat="false" ht="19.5" hidden="false" customHeight="true" outlineLevel="0" collapsed="false">
      <c r="A114" s="2"/>
      <c r="B114" s="3"/>
      <c r="C114" s="3"/>
      <c r="D114" s="4"/>
      <c r="E114" s="5" t="str">
        <f aca="true">IF($A114="","",IF($D114="○","自動更新",IF($C114="","期限未設定",IF($C114&lt;TODAY(),"期限切れ",IF($C114-TODAY()&lt;=集計!$B$3,"期限間近","有効")))))</f>
        <v/>
      </c>
      <c r="F114" s="6" t="str">
        <f aca="true">IF(OR($A114="",$C114=""),"",IF(AND($D114="○",$C114&lt;TODAY()),"",$C114-TODAY()))</f>
        <v/>
      </c>
      <c r="G114" s="7"/>
      <c r="H114" s="8"/>
      <c r="I114" s="2"/>
      <c r="J114" s="2"/>
      <c r="K114" s="8"/>
      <c r="L114" s="8"/>
    </row>
    <row r="115" customFormat="false" ht="19.5" hidden="false" customHeight="true" outlineLevel="0" collapsed="false">
      <c r="A115" s="2"/>
      <c r="B115" s="3"/>
      <c r="C115" s="3"/>
      <c r="D115" s="4"/>
      <c r="E115" s="5" t="str">
        <f aca="true">IF($A115="","",IF($D115="○","自動更新",IF($C115="","期限未設定",IF($C115&lt;TODAY(),"期限切れ",IF($C115-TODAY()&lt;=集計!$B$3,"期限間近","有効")))))</f>
        <v/>
      </c>
      <c r="F115" s="6" t="str">
        <f aca="true">IF(OR($A115="",$C115=""),"",IF(AND($D115="○",$C115&lt;TODAY()),"",$C115-TODAY()))</f>
        <v/>
      </c>
      <c r="G115" s="7"/>
      <c r="H115" s="8"/>
      <c r="I115" s="2"/>
      <c r="J115" s="2"/>
      <c r="K115" s="8"/>
      <c r="L115" s="8"/>
    </row>
    <row r="116" customFormat="false" ht="19.5" hidden="false" customHeight="true" outlineLevel="0" collapsed="false">
      <c r="A116" s="2"/>
      <c r="B116" s="3"/>
      <c r="C116" s="3"/>
      <c r="D116" s="4"/>
      <c r="E116" s="5" t="str">
        <f aca="true">IF($A116="","",IF($D116="○","自動更新",IF($C116="","期限未設定",IF($C116&lt;TODAY(),"期限切れ",IF($C116-TODAY()&lt;=集計!$B$3,"期限間近","有効")))))</f>
        <v/>
      </c>
      <c r="F116" s="6" t="str">
        <f aca="true">IF(OR($A116="",$C116=""),"",IF(AND($D116="○",$C116&lt;TODAY()),"",$C116-TODAY()))</f>
        <v/>
      </c>
      <c r="G116" s="7"/>
      <c r="H116" s="8"/>
      <c r="I116" s="2"/>
      <c r="J116" s="2"/>
      <c r="K116" s="8"/>
      <c r="L116" s="8"/>
    </row>
    <row r="117" customFormat="false" ht="19.5" hidden="false" customHeight="true" outlineLevel="0" collapsed="false">
      <c r="A117" s="2"/>
      <c r="B117" s="3"/>
      <c r="C117" s="3"/>
      <c r="D117" s="4"/>
      <c r="E117" s="5" t="str">
        <f aca="true">IF($A117="","",IF($D117="○","自動更新",IF($C117="","期限未設定",IF($C117&lt;TODAY(),"期限切れ",IF($C117-TODAY()&lt;=集計!$B$3,"期限間近","有効")))))</f>
        <v/>
      </c>
      <c r="F117" s="6" t="str">
        <f aca="true">IF(OR($A117="",$C117=""),"",IF(AND($D117="○",$C117&lt;TODAY()),"",$C117-TODAY()))</f>
        <v/>
      </c>
      <c r="G117" s="7"/>
      <c r="H117" s="8"/>
      <c r="I117" s="2"/>
      <c r="J117" s="2"/>
      <c r="K117" s="8"/>
      <c r="L117" s="8"/>
    </row>
    <row r="118" customFormat="false" ht="19.5" hidden="false" customHeight="true" outlineLevel="0" collapsed="false">
      <c r="A118" s="2"/>
      <c r="B118" s="3"/>
      <c r="C118" s="3"/>
      <c r="D118" s="4"/>
      <c r="E118" s="5" t="str">
        <f aca="true">IF($A118="","",IF($D118="○","自動更新",IF($C118="","期限未設定",IF($C118&lt;TODAY(),"期限切れ",IF($C118-TODAY()&lt;=集計!$B$3,"期限間近","有効")))))</f>
        <v/>
      </c>
      <c r="F118" s="6" t="str">
        <f aca="true">IF(OR($A118="",$C118=""),"",IF(AND($D118="○",$C118&lt;TODAY()),"",$C118-TODAY()))</f>
        <v/>
      </c>
      <c r="G118" s="7"/>
      <c r="H118" s="8"/>
      <c r="I118" s="2"/>
      <c r="J118" s="2"/>
      <c r="K118" s="8"/>
      <c r="L118" s="8"/>
    </row>
    <row r="119" customFormat="false" ht="19.5" hidden="false" customHeight="true" outlineLevel="0" collapsed="false">
      <c r="A119" s="2"/>
      <c r="B119" s="3"/>
      <c r="C119" s="3"/>
      <c r="D119" s="4"/>
      <c r="E119" s="5" t="str">
        <f aca="true">IF($A119="","",IF($D119="○","自動更新",IF($C119="","期限未設定",IF($C119&lt;TODAY(),"期限切れ",IF($C119-TODAY()&lt;=集計!$B$3,"期限間近","有効")))))</f>
        <v/>
      </c>
      <c r="F119" s="6" t="str">
        <f aca="true">IF(OR($A119="",$C119=""),"",IF(AND($D119="○",$C119&lt;TODAY()),"",$C119-TODAY()))</f>
        <v/>
      </c>
      <c r="G119" s="7"/>
      <c r="H119" s="8"/>
      <c r="I119" s="2"/>
      <c r="J119" s="2"/>
      <c r="K119" s="8"/>
      <c r="L119" s="8"/>
    </row>
    <row r="120" customFormat="false" ht="19.5" hidden="false" customHeight="true" outlineLevel="0" collapsed="false">
      <c r="A120" s="2"/>
      <c r="B120" s="3"/>
      <c r="C120" s="3"/>
      <c r="D120" s="4"/>
      <c r="E120" s="5" t="str">
        <f aca="true">IF($A120="","",IF($D120="○","自動更新",IF($C120="","期限未設定",IF($C120&lt;TODAY(),"期限切れ",IF($C120-TODAY()&lt;=集計!$B$3,"期限間近","有効")))))</f>
        <v/>
      </c>
      <c r="F120" s="6" t="str">
        <f aca="true">IF(OR($A120="",$C120=""),"",IF(AND($D120="○",$C120&lt;TODAY()),"",$C120-TODAY()))</f>
        <v/>
      </c>
      <c r="G120" s="7"/>
      <c r="H120" s="8"/>
      <c r="I120" s="2"/>
      <c r="J120" s="2"/>
      <c r="K120" s="8"/>
      <c r="L120" s="8"/>
    </row>
    <row r="121" customFormat="false" ht="19.5" hidden="false" customHeight="true" outlineLevel="0" collapsed="false">
      <c r="A121" s="2"/>
      <c r="B121" s="3"/>
      <c r="C121" s="3"/>
      <c r="D121" s="4"/>
      <c r="E121" s="5" t="str">
        <f aca="true">IF($A121="","",IF($D121="○","自動更新",IF($C121="","期限未設定",IF($C121&lt;TODAY(),"期限切れ",IF($C121-TODAY()&lt;=集計!$B$3,"期限間近","有効")))))</f>
        <v/>
      </c>
      <c r="F121" s="6" t="str">
        <f aca="true">IF(OR($A121="",$C121=""),"",IF(AND($D121="○",$C121&lt;TODAY()),"",$C121-TODAY()))</f>
        <v/>
      </c>
      <c r="G121" s="7"/>
      <c r="H121" s="8"/>
      <c r="I121" s="2"/>
      <c r="J121" s="2"/>
      <c r="K121" s="8"/>
      <c r="L121" s="8"/>
    </row>
    <row r="122" customFormat="false" ht="19.5" hidden="false" customHeight="true" outlineLevel="0" collapsed="false">
      <c r="A122" s="2"/>
      <c r="B122" s="3"/>
      <c r="C122" s="3"/>
      <c r="D122" s="4"/>
      <c r="E122" s="5" t="str">
        <f aca="true">IF($A122="","",IF($D122="○","自動更新",IF($C122="","期限未設定",IF($C122&lt;TODAY(),"期限切れ",IF($C122-TODAY()&lt;=集計!$B$3,"期限間近","有効")))))</f>
        <v/>
      </c>
      <c r="F122" s="6" t="str">
        <f aca="true">IF(OR($A122="",$C122=""),"",IF(AND($D122="○",$C122&lt;TODAY()),"",$C122-TODAY()))</f>
        <v/>
      </c>
      <c r="G122" s="7"/>
      <c r="H122" s="8"/>
      <c r="I122" s="2"/>
      <c r="J122" s="2"/>
      <c r="K122" s="8"/>
      <c r="L122" s="8"/>
    </row>
    <row r="123" customFormat="false" ht="19.5" hidden="false" customHeight="true" outlineLevel="0" collapsed="false">
      <c r="A123" s="2"/>
      <c r="B123" s="3"/>
      <c r="C123" s="3"/>
      <c r="D123" s="4"/>
      <c r="E123" s="5" t="str">
        <f aca="true">IF($A123="","",IF($D123="○","自動更新",IF($C123="","期限未設定",IF($C123&lt;TODAY(),"期限切れ",IF($C123-TODAY()&lt;=集計!$B$3,"期限間近","有効")))))</f>
        <v/>
      </c>
      <c r="F123" s="6" t="str">
        <f aca="true">IF(OR($A123="",$C123=""),"",IF(AND($D123="○",$C123&lt;TODAY()),"",$C123-TODAY()))</f>
        <v/>
      </c>
      <c r="G123" s="7"/>
      <c r="H123" s="8"/>
      <c r="I123" s="2"/>
      <c r="J123" s="2"/>
      <c r="K123" s="8"/>
      <c r="L123" s="8"/>
    </row>
    <row r="124" customFormat="false" ht="19.5" hidden="false" customHeight="true" outlineLevel="0" collapsed="false">
      <c r="A124" s="2"/>
      <c r="B124" s="3"/>
      <c r="C124" s="3"/>
      <c r="D124" s="4"/>
      <c r="E124" s="5" t="str">
        <f aca="true">IF($A124="","",IF($D124="○","自動更新",IF($C124="","期限未設定",IF($C124&lt;TODAY(),"期限切れ",IF($C124-TODAY()&lt;=集計!$B$3,"期限間近","有効")))))</f>
        <v/>
      </c>
      <c r="F124" s="6" t="str">
        <f aca="true">IF(OR($A124="",$C124=""),"",IF(AND($D124="○",$C124&lt;TODAY()),"",$C124-TODAY()))</f>
        <v/>
      </c>
      <c r="G124" s="7"/>
      <c r="H124" s="8"/>
      <c r="I124" s="2"/>
      <c r="J124" s="2"/>
      <c r="K124" s="8"/>
      <c r="L124" s="8"/>
    </row>
    <row r="125" customFormat="false" ht="19.5" hidden="false" customHeight="true" outlineLevel="0" collapsed="false">
      <c r="A125" s="2"/>
      <c r="B125" s="3"/>
      <c r="C125" s="3"/>
      <c r="D125" s="4"/>
      <c r="E125" s="5" t="str">
        <f aca="true">IF($A125="","",IF($D125="○","自動更新",IF($C125="","期限未設定",IF($C125&lt;TODAY(),"期限切れ",IF($C125-TODAY()&lt;=集計!$B$3,"期限間近","有効")))))</f>
        <v/>
      </c>
      <c r="F125" s="6" t="str">
        <f aca="true">IF(OR($A125="",$C125=""),"",IF(AND($D125="○",$C125&lt;TODAY()),"",$C125-TODAY()))</f>
        <v/>
      </c>
      <c r="G125" s="7"/>
      <c r="H125" s="8"/>
      <c r="I125" s="2"/>
      <c r="J125" s="2"/>
      <c r="K125" s="8"/>
      <c r="L125" s="8"/>
    </row>
    <row r="126" customFormat="false" ht="19.5" hidden="false" customHeight="true" outlineLevel="0" collapsed="false">
      <c r="A126" s="2"/>
      <c r="B126" s="3"/>
      <c r="C126" s="3"/>
      <c r="D126" s="4"/>
      <c r="E126" s="5" t="str">
        <f aca="true">IF($A126="","",IF($D126="○","自動更新",IF($C126="","期限未設定",IF($C126&lt;TODAY(),"期限切れ",IF($C126-TODAY()&lt;=集計!$B$3,"期限間近","有効")))))</f>
        <v/>
      </c>
      <c r="F126" s="6" t="str">
        <f aca="true">IF(OR($A126="",$C126=""),"",IF(AND($D126="○",$C126&lt;TODAY()),"",$C126-TODAY()))</f>
        <v/>
      </c>
      <c r="G126" s="7"/>
      <c r="H126" s="8"/>
      <c r="I126" s="2"/>
      <c r="J126" s="2"/>
      <c r="K126" s="8"/>
      <c r="L126" s="8"/>
    </row>
    <row r="127" customFormat="false" ht="19.5" hidden="false" customHeight="true" outlineLevel="0" collapsed="false">
      <c r="A127" s="2"/>
      <c r="B127" s="3"/>
      <c r="C127" s="3"/>
      <c r="D127" s="4"/>
      <c r="E127" s="5" t="str">
        <f aca="true">IF($A127="","",IF($D127="○","自動更新",IF($C127="","期限未設定",IF($C127&lt;TODAY(),"期限切れ",IF($C127-TODAY()&lt;=集計!$B$3,"期限間近","有効")))))</f>
        <v/>
      </c>
      <c r="F127" s="6" t="str">
        <f aca="true">IF(OR($A127="",$C127=""),"",IF(AND($D127="○",$C127&lt;TODAY()),"",$C127-TODAY()))</f>
        <v/>
      </c>
      <c r="G127" s="7"/>
      <c r="H127" s="8"/>
      <c r="I127" s="2"/>
      <c r="J127" s="2"/>
      <c r="K127" s="8"/>
      <c r="L127" s="8"/>
    </row>
    <row r="128" customFormat="false" ht="19.5" hidden="false" customHeight="true" outlineLevel="0" collapsed="false">
      <c r="A128" s="2"/>
      <c r="B128" s="3"/>
      <c r="C128" s="3"/>
      <c r="D128" s="4"/>
      <c r="E128" s="5" t="str">
        <f aca="true">IF($A128="","",IF($D128="○","自動更新",IF($C128="","期限未設定",IF($C128&lt;TODAY(),"期限切れ",IF($C128-TODAY()&lt;=集計!$B$3,"期限間近","有効")))))</f>
        <v/>
      </c>
      <c r="F128" s="6" t="str">
        <f aca="true">IF(OR($A128="",$C128=""),"",IF(AND($D128="○",$C128&lt;TODAY()),"",$C128-TODAY()))</f>
        <v/>
      </c>
      <c r="G128" s="7"/>
      <c r="H128" s="8"/>
      <c r="I128" s="2"/>
      <c r="J128" s="2"/>
      <c r="K128" s="8"/>
      <c r="L128" s="8"/>
    </row>
    <row r="129" customFormat="false" ht="19.5" hidden="false" customHeight="true" outlineLevel="0" collapsed="false">
      <c r="A129" s="2"/>
      <c r="B129" s="3"/>
      <c r="C129" s="3"/>
      <c r="D129" s="4"/>
      <c r="E129" s="5" t="str">
        <f aca="true">IF($A129="","",IF($D129="○","自動更新",IF($C129="","期限未設定",IF($C129&lt;TODAY(),"期限切れ",IF($C129-TODAY()&lt;=集計!$B$3,"期限間近","有効")))))</f>
        <v/>
      </c>
      <c r="F129" s="6" t="str">
        <f aca="true">IF(OR($A129="",$C129=""),"",IF(AND($D129="○",$C129&lt;TODAY()),"",$C129-TODAY()))</f>
        <v/>
      </c>
      <c r="G129" s="7"/>
      <c r="H129" s="8"/>
      <c r="I129" s="2"/>
      <c r="J129" s="2"/>
      <c r="K129" s="8"/>
      <c r="L129" s="8"/>
    </row>
    <row r="130" customFormat="false" ht="19.5" hidden="false" customHeight="true" outlineLevel="0" collapsed="false">
      <c r="A130" s="2"/>
      <c r="B130" s="3"/>
      <c r="C130" s="3"/>
      <c r="D130" s="4"/>
      <c r="E130" s="5" t="str">
        <f aca="true">IF($A130="","",IF($D130="○","自動更新",IF($C130="","期限未設定",IF($C130&lt;TODAY(),"期限切れ",IF($C130-TODAY()&lt;=集計!$B$3,"期限間近","有効")))))</f>
        <v/>
      </c>
      <c r="F130" s="6" t="str">
        <f aca="true">IF(OR($A130="",$C130=""),"",IF(AND($D130="○",$C130&lt;TODAY()),"",$C130-TODAY()))</f>
        <v/>
      </c>
      <c r="G130" s="7"/>
      <c r="H130" s="8"/>
      <c r="I130" s="2"/>
      <c r="J130" s="2"/>
      <c r="K130" s="8"/>
      <c r="L130" s="8"/>
    </row>
    <row r="131" customFormat="false" ht="19.5" hidden="false" customHeight="true" outlineLevel="0" collapsed="false">
      <c r="A131" s="2"/>
      <c r="B131" s="3"/>
      <c r="C131" s="3"/>
      <c r="D131" s="4"/>
      <c r="E131" s="5" t="str">
        <f aca="true">IF($A131="","",IF($D131="○","自動更新",IF($C131="","期限未設定",IF($C131&lt;TODAY(),"期限切れ",IF($C131-TODAY()&lt;=集計!$B$3,"期限間近","有効")))))</f>
        <v/>
      </c>
      <c r="F131" s="6" t="str">
        <f aca="true">IF(OR($A131="",$C131=""),"",IF(AND($D131="○",$C131&lt;TODAY()),"",$C131-TODAY()))</f>
        <v/>
      </c>
      <c r="G131" s="7"/>
      <c r="H131" s="8"/>
      <c r="I131" s="2"/>
      <c r="J131" s="2"/>
      <c r="K131" s="8"/>
      <c r="L131" s="8"/>
    </row>
    <row r="132" customFormat="false" ht="19.5" hidden="false" customHeight="true" outlineLevel="0" collapsed="false">
      <c r="A132" s="2"/>
      <c r="B132" s="3"/>
      <c r="C132" s="3"/>
      <c r="D132" s="4"/>
      <c r="E132" s="5" t="str">
        <f aca="true">IF($A132="","",IF($D132="○","自動更新",IF($C132="","期限未設定",IF($C132&lt;TODAY(),"期限切れ",IF($C132-TODAY()&lt;=集計!$B$3,"期限間近","有効")))))</f>
        <v/>
      </c>
      <c r="F132" s="6" t="str">
        <f aca="true">IF(OR($A132="",$C132=""),"",IF(AND($D132="○",$C132&lt;TODAY()),"",$C132-TODAY()))</f>
        <v/>
      </c>
      <c r="G132" s="7"/>
      <c r="H132" s="8"/>
      <c r="I132" s="2"/>
      <c r="J132" s="2"/>
      <c r="K132" s="8"/>
      <c r="L132" s="8"/>
    </row>
    <row r="133" customFormat="false" ht="19.5" hidden="false" customHeight="true" outlineLevel="0" collapsed="false">
      <c r="A133" s="2"/>
      <c r="B133" s="3"/>
      <c r="C133" s="3"/>
      <c r="D133" s="4"/>
      <c r="E133" s="5" t="str">
        <f aca="true">IF($A133="","",IF($D133="○","自動更新",IF($C133="","期限未設定",IF($C133&lt;TODAY(),"期限切れ",IF($C133-TODAY()&lt;=集計!$B$3,"期限間近","有効")))))</f>
        <v/>
      </c>
      <c r="F133" s="6" t="str">
        <f aca="true">IF(OR($A133="",$C133=""),"",IF(AND($D133="○",$C133&lt;TODAY()),"",$C133-TODAY()))</f>
        <v/>
      </c>
      <c r="G133" s="7"/>
      <c r="H133" s="8"/>
      <c r="I133" s="2"/>
      <c r="J133" s="2"/>
      <c r="K133" s="8"/>
      <c r="L133" s="8"/>
    </row>
    <row r="134" customFormat="false" ht="19.5" hidden="false" customHeight="true" outlineLevel="0" collapsed="false">
      <c r="A134" s="2"/>
      <c r="B134" s="3"/>
      <c r="C134" s="3"/>
      <c r="D134" s="4"/>
      <c r="E134" s="5" t="str">
        <f aca="true">IF($A134="","",IF($D134="○","自動更新",IF($C134="","期限未設定",IF($C134&lt;TODAY(),"期限切れ",IF($C134-TODAY()&lt;=集計!$B$3,"期限間近","有効")))))</f>
        <v/>
      </c>
      <c r="F134" s="6" t="str">
        <f aca="true">IF(OR($A134="",$C134=""),"",IF(AND($D134="○",$C134&lt;TODAY()),"",$C134-TODAY()))</f>
        <v/>
      </c>
      <c r="G134" s="7"/>
      <c r="H134" s="8"/>
      <c r="I134" s="2"/>
      <c r="J134" s="2"/>
      <c r="K134" s="8"/>
      <c r="L134" s="8"/>
    </row>
    <row r="135" customFormat="false" ht="19.5" hidden="false" customHeight="true" outlineLevel="0" collapsed="false">
      <c r="A135" s="2"/>
      <c r="B135" s="3"/>
      <c r="C135" s="3"/>
      <c r="D135" s="4"/>
      <c r="E135" s="5" t="str">
        <f aca="true">IF($A135="","",IF($D135="○","自動更新",IF($C135="","期限未設定",IF($C135&lt;TODAY(),"期限切れ",IF($C135-TODAY()&lt;=集計!$B$3,"期限間近","有効")))))</f>
        <v/>
      </c>
      <c r="F135" s="6" t="str">
        <f aca="true">IF(OR($A135="",$C135=""),"",IF(AND($D135="○",$C135&lt;TODAY()),"",$C135-TODAY()))</f>
        <v/>
      </c>
      <c r="G135" s="7"/>
      <c r="H135" s="8"/>
      <c r="I135" s="2"/>
      <c r="J135" s="2"/>
      <c r="K135" s="8"/>
      <c r="L135" s="8"/>
    </row>
    <row r="136" customFormat="false" ht="19.5" hidden="false" customHeight="true" outlineLevel="0" collapsed="false">
      <c r="A136" s="2"/>
      <c r="B136" s="3"/>
      <c r="C136" s="3"/>
      <c r="D136" s="4"/>
      <c r="E136" s="5" t="str">
        <f aca="true">IF($A136="","",IF($D136="○","自動更新",IF($C136="","期限未設定",IF($C136&lt;TODAY(),"期限切れ",IF($C136-TODAY()&lt;=集計!$B$3,"期限間近","有効")))))</f>
        <v/>
      </c>
      <c r="F136" s="6" t="str">
        <f aca="true">IF(OR($A136="",$C136=""),"",IF(AND($D136="○",$C136&lt;TODAY()),"",$C136-TODAY()))</f>
        <v/>
      </c>
      <c r="G136" s="7"/>
      <c r="H136" s="8"/>
      <c r="I136" s="2"/>
      <c r="J136" s="2"/>
      <c r="K136" s="8"/>
      <c r="L136" s="8"/>
    </row>
    <row r="137" customFormat="false" ht="19.5" hidden="false" customHeight="true" outlineLevel="0" collapsed="false">
      <c r="A137" s="2"/>
      <c r="B137" s="3"/>
      <c r="C137" s="3"/>
      <c r="D137" s="4"/>
      <c r="E137" s="5" t="str">
        <f aca="true">IF($A137="","",IF($D137="○","自動更新",IF($C137="","期限未設定",IF($C137&lt;TODAY(),"期限切れ",IF($C137-TODAY()&lt;=集計!$B$3,"期限間近","有効")))))</f>
        <v/>
      </c>
      <c r="F137" s="6" t="str">
        <f aca="true">IF(OR($A137="",$C137=""),"",IF(AND($D137="○",$C137&lt;TODAY()),"",$C137-TODAY()))</f>
        <v/>
      </c>
      <c r="G137" s="7"/>
      <c r="H137" s="8"/>
      <c r="I137" s="2"/>
      <c r="J137" s="2"/>
      <c r="K137" s="8"/>
      <c r="L137" s="8"/>
    </row>
    <row r="138" customFormat="false" ht="19.5" hidden="false" customHeight="true" outlineLevel="0" collapsed="false">
      <c r="A138" s="2"/>
      <c r="B138" s="3"/>
      <c r="C138" s="3"/>
      <c r="D138" s="4"/>
      <c r="E138" s="5" t="str">
        <f aca="true">IF($A138="","",IF($D138="○","自動更新",IF($C138="","期限未設定",IF($C138&lt;TODAY(),"期限切れ",IF($C138-TODAY()&lt;=集計!$B$3,"期限間近","有効")))))</f>
        <v/>
      </c>
      <c r="F138" s="6" t="str">
        <f aca="true">IF(OR($A138="",$C138=""),"",IF(AND($D138="○",$C138&lt;TODAY()),"",$C138-TODAY()))</f>
        <v/>
      </c>
      <c r="G138" s="7"/>
      <c r="H138" s="8"/>
      <c r="I138" s="2"/>
      <c r="J138" s="2"/>
      <c r="K138" s="8"/>
      <c r="L138" s="8"/>
    </row>
    <row r="139" customFormat="false" ht="19.5" hidden="false" customHeight="true" outlineLevel="0" collapsed="false">
      <c r="A139" s="2"/>
      <c r="B139" s="3"/>
      <c r="C139" s="3"/>
      <c r="D139" s="4"/>
      <c r="E139" s="5" t="str">
        <f aca="true">IF($A139="","",IF($D139="○","自動更新",IF($C139="","期限未設定",IF($C139&lt;TODAY(),"期限切れ",IF($C139-TODAY()&lt;=集計!$B$3,"期限間近","有効")))))</f>
        <v/>
      </c>
      <c r="F139" s="6" t="str">
        <f aca="true">IF(OR($A139="",$C139=""),"",IF(AND($D139="○",$C139&lt;TODAY()),"",$C139-TODAY()))</f>
        <v/>
      </c>
      <c r="G139" s="7"/>
      <c r="H139" s="8"/>
      <c r="I139" s="2"/>
      <c r="J139" s="2"/>
      <c r="K139" s="8"/>
      <c r="L139" s="8"/>
    </row>
    <row r="140" customFormat="false" ht="19.5" hidden="false" customHeight="true" outlineLevel="0" collapsed="false">
      <c r="A140" s="2"/>
      <c r="B140" s="3"/>
      <c r="C140" s="3"/>
      <c r="D140" s="4"/>
      <c r="E140" s="5" t="str">
        <f aca="true">IF($A140="","",IF($D140="○","自動更新",IF($C140="","期限未設定",IF($C140&lt;TODAY(),"期限切れ",IF($C140-TODAY()&lt;=集計!$B$3,"期限間近","有効")))))</f>
        <v/>
      </c>
      <c r="F140" s="6" t="str">
        <f aca="true">IF(OR($A140="",$C140=""),"",IF(AND($D140="○",$C140&lt;TODAY()),"",$C140-TODAY()))</f>
        <v/>
      </c>
      <c r="G140" s="7"/>
      <c r="H140" s="8"/>
      <c r="I140" s="2"/>
      <c r="J140" s="2"/>
      <c r="K140" s="8"/>
      <c r="L140" s="8"/>
    </row>
    <row r="141" customFormat="false" ht="19.5" hidden="false" customHeight="true" outlineLevel="0" collapsed="false">
      <c r="A141" s="2"/>
      <c r="B141" s="3"/>
      <c r="C141" s="3"/>
      <c r="D141" s="4"/>
      <c r="E141" s="5" t="str">
        <f aca="true">IF($A141="","",IF($D141="○","自動更新",IF($C141="","期限未設定",IF($C141&lt;TODAY(),"期限切れ",IF($C141-TODAY()&lt;=集計!$B$3,"期限間近","有効")))))</f>
        <v/>
      </c>
      <c r="F141" s="6" t="str">
        <f aca="true">IF(OR($A141="",$C141=""),"",IF(AND($D141="○",$C141&lt;TODAY()),"",$C141-TODAY()))</f>
        <v/>
      </c>
      <c r="G141" s="7"/>
      <c r="H141" s="8"/>
      <c r="I141" s="2"/>
      <c r="J141" s="2"/>
      <c r="K141" s="8"/>
      <c r="L141" s="8"/>
    </row>
    <row r="142" customFormat="false" ht="19.5" hidden="false" customHeight="true" outlineLevel="0" collapsed="false">
      <c r="A142" s="2"/>
      <c r="B142" s="3"/>
      <c r="C142" s="3"/>
      <c r="D142" s="4"/>
      <c r="E142" s="5" t="str">
        <f aca="true">IF($A142="","",IF($D142="○","自動更新",IF($C142="","期限未設定",IF($C142&lt;TODAY(),"期限切れ",IF($C142-TODAY()&lt;=集計!$B$3,"期限間近","有効")))))</f>
        <v/>
      </c>
      <c r="F142" s="6" t="str">
        <f aca="true">IF(OR($A142="",$C142=""),"",IF(AND($D142="○",$C142&lt;TODAY()),"",$C142-TODAY()))</f>
        <v/>
      </c>
      <c r="G142" s="7"/>
      <c r="H142" s="8"/>
      <c r="I142" s="2"/>
      <c r="J142" s="2"/>
      <c r="K142" s="8"/>
      <c r="L142" s="8"/>
    </row>
    <row r="143" customFormat="false" ht="19.5" hidden="false" customHeight="true" outlineLevel="0" collapsed="false">
      <c r="A143" s="2"/>
      <c r="B143" s="3"/>
      <c r="C143" s="3"/>
      <c r="D143" s="4"/>
      <c r="E143" s="5" t="str">
        <f aca="true">IF($A143="","",IF($D143="○","自動更新",IF($C143="","期限未設定",IF($C143&lt;TODAY(),"期限切れ",IF($C143-TODAY()&lt;=集計!$B$3,"期限間近","有効")))))</f>
        <v/>
      </c>
      <c r="F143" s="6" t="str">
        <f aca="true">IF(OR($A143="",$C143=""),"",IF(AND($D143="○",$C143&lt;TODAY()),"",$C143-TODAY()))</f>
        <v/>
      </c>
      <c r="G143" s="7"/>
      <c r="H143" s="8"/>
      <c r="I143" s="2"/>
      <c r="J143" s="2"/>
      <c r="K143" s="8"/>
      <c r="L143" s="8"/>
    </row>
    <row r="144" customFormat="false" ht="19.5" hidden="false" customHeight="true" outlineLevel="0" collapsed="false">
      <c r="A144" s="2"/>
      <c r="B144" s="3"/>
      <c r="C144" s="3"/>
      <c r="D144" s="4"/>
      <c r="E144" s="5" t="str">
        <f aca="true">IF($A144="","",IF($D144="○","自動更新",IF($C144="","期限未設定",IF($C144&lt;TODAY(),"期限切れ",IF($C144-TODAY()&lt;=集計!$B$3,"期限間近","有効")))))</f>
        <v/>
      </c>
      <c r="F144" s="6" t="str">
        <f aca="true">IF(OR($A144="",$C144=""),"",IF(AND($D144="○",$C144&lt;TODAY()),"",$C144-TODAY()))</f>
        <v/>
      </c>
      <c r="G144" s="7"/>
      <c r="H144" s="8"/>
      <c r="I144" s="2"/>
      <c r="J144" s="2"/>
      <c r="K144" s="8"/>
      <c r="L144" s="8"/>
    </row>
    <row r="145" customFormat="false" ht="19.5" hidden="false" customHeight="true" outlineLevel="0" collapsed="false">
      <c r="A145" s="2"/>
      <c r="B145" s="3"/>
      <c r="C145" s="3"/>
      <c r="D145" s="4"/>
      <c r="E145" s="5" t="str">
        <f aca="true">IF($A145="","",IF($D145="○","自動更新",IF($C145="","期限未設定",IF($C145&lt;TODAY(),"期限切れ",IF($C145-TODAY()&lt;=集計!$B$3,"期限間近","有効")))))</f>
        <v/>
      </c>
      <c r="F145" s="6" t="str">
        <f aca="true">IF(OR($A145="",$C145=""),"",IF(AND($D145="○",$C145&lt;TODAY()),"",$C145-TODAY()))</f>
        <v/>
      </c>
      <c r="G145" s="7"/>
      <c r="H145" s="8"/>
      <c r="I145" s="2"/>
      <c r="J145" s="2"/>
      <c r="K145" s="8"/>
      <c r="L145" s="8"/>
    </row>
    <row r="146" customFormat="false" ht="19.5" hidden="false" customHeight="true" outlineLevel="0" collapsed="false">
      <c r="A146" s="2"/>
      <c r="B146" s="3"/>
      <c r="C146" s="3"/>
      <c r="D146" s="4"/>
      <c r="E146" s="5" t="str">
        <f aca="true">IF($A146="","",IF($D146="○","自動更新",IF($C146="","期限未設定",IF($C146&lt;TODAY(),"期限切れ",IF($C146-TODAY()&lt;=集計!$B$3,"期限間近","有効")))))</f>
        <v/>
      </c>
      <c r="F146" s="6" t="str">
        <f aca="true">IF(OR($A146="",$C146=""),"",IF(AND($D146="○",$C146&lt;TODAY()),"",$C146-TODAY()))</f>
        <v/>
      </c>
      <c r="G146" s="7"/>
      <c r="H146" s="8"/>
      <c r="I146" s="2"/>
      <c r="J146" s="2"/>
      <c r="K146" s="8"/>
      <c r="L146" s="8"/>
    </row>
    <row r="147" customFormat="false" ht="19.5" hidden="false" customHeight="true" outlineLevel="0" collapsed="false">
      <c r="A147" s="2"/>
      <c r="B147" s="3"/>
      <c r="C147" s="3"/>
      <c r="D147" s="4"/>
      <c r="E147" s="5" t="str">
        <f aca="true">IF($A147="","",IF($D147="○","自動更新",IF($C147="","期限未設定",IF($C147&lt;TODAY(),"期限切れ",IF($C147-TODAY()&lt;=集計!$B$3,"期限間近","有効")))))</f>
        <v/>
      </c>
      <c r="F147" s="6" t="str">
        <f aca="true">IF(OR($A147="",$C147=""),"",IF(AND($D147="○",$C147&lt;TODAY()),"",$C147-TODAY()))</f>
        <v/>
      </c>
      <c r="G147" s="7"/>
      <c r="H147" s="8"/>
      <c r="I147" s="2"/>
      <c r="J147" s="2"/>
      <c r="K147" s="8"/>
      <c r="L147" s="8"/>
    </row>
    <row r="148" customFormat="false" ht="19.5" hidden="false" customHeight="true" outlineLevel="0" collapsed="false">
      <c r="A148" s="2"/>
      <c r="B148" s="3"/>
      <c r="C148" s="3"/>
      <c r="D148" s="4"/>
      <c r="E148" s="5" t="str">
        <f aca="true">IF($A148="","",IF($D148="○","自動更新",IF($C148="","期限未設定",IF($C148&lt;TODAY(),"期限切れ",IF($C148-TODAY()&lt;=集計!$B$3,"期限間近","有効")))))</f>
        <v/>
      </c>
      <c r="F148" s="6" t="str">
        <f aca="true">IF(OR($A148="",$C148=""),"",IF(AND($D148="○",$C148&lt;TODAY()),"",$C148-TODAY()))</f>
        <v/>
      </c>
      <c r="G148" s="7"/>
      <c r="H148" s="8"/>
      <c r="I148" s="2"/>
      <c r="J148" s="2"/>
      <c r="K148" s="8"/>
      <c r="L148" s="8"/>
    </row>
    <row r="149" customFormat="false" ht="19.5" hidden="false" customHeight="true" outlineLevel="0" collapsed="false">
      <c r="A149" s="2"/>
      <c r="B149" s="3"/>
      <c r="C149" s="3"/>
      <c r="D149" s="4"/>
      <c r="E149" s="5" t="str">
        <f aca="true">IF($A149="","",IF($D149="○","自動更新",IF($C149="","期限未設定",IF($C149&lt;TODAY(),"期限切れ",IF($C149-TODAY()&lt;=集計!$B$3,"期限間近","有効")))))</f>
        <v/>
      </c>
      <c r="F149" s="6" t="str">
        <f aca="true">IF(OR($A149="",$C149=""),"",IF(AND($D149="○",$C149&lt;TODAY()),"",$C149-TODAY()))</f>
        <v/>
      </c>
      <c r="G149" s="7"/>
      <c r="H149" s="8"/>
      <c r="I149" s="2"/>
      <c r="J149" s="2"/>
      <c r="K149" s="8"/>
      <c r="L149" s="8"/>
    </row>
    <row r="150" customFormat="false" ht="19.5" hidden="false" customHeight="true" outlineLevel="0" collapsed="false">
      <c r="A150" s="2"/>
      <c r="B150" s="3"/>
      <c r="C150" s="3"/>
      <c r="D150" s="4"/>
      <c r="E150" s="5" t="str">
        <f aca="true">IF($A150="","",IF($D150="○","自動更新",IF($C150="","期限未設定",IF($C150&lt;TODAY(),"期限切れ",IF($C150-TODAY()&lt;=集計!$B$3,"期限間近","有効")))))</f>
        <v/>
      </c>
      <c r="F150" s="6" t="str">
        <f aca="true">IF(OR($A150="",$C150=""),"",IF(AND($D150="○",$C150&lt;TODAY()),"",$C150-TODAY()))</f>
        <v/>
      </c>
      <c r="G150" s="7"/>
      <c r="H150" s="8"/>
      <c r="I150" s="2"/>
      <c r="J150" s="2"/>
      <c r="K150" s="8"/>
      <c r="L150" s="8"/>
    </row>
    <row r="151" customFormat="false" ht="19.5" hidden="false" customHeight="true" outlineLevel="0" collapsed="false">
      <c r="A151" s="2"/>
      <c r="B151" s="3"/>
      <c r="C151" s="3"/>
      <c r="D151" s="4"/>
      <c r="E151" s="5" t="str">
        <f aca="true">IF($A151="","",IF($D151="○","自動更新",IF($C151="","期限未設定",IF($C151&lt;TODAY(),"期限切れ",IF($C151-TODAY()&lt;=集計!$B$3,"期限間近","有効")))))</f>
        <v/>
      </c>
      <c r="F151" s="6" t="str">
        <f aca="true">IF(OR($A151="",$C151=""),"",IF(AND($D151="○",$C151&lt;TODAY()),"",$C151-TODAY()))</f>
        <v/>
      </c>
      <c r="G151" s="7"/>
      <c r="H151" s="8"/>
      <c r="I151" s="2"/>
      <c r="J151" s="2"/>
      <c r="K151" s="8"/>
      <c r="L151" s="8"/>
    </row>
  </sheetData>
  <autoFilter ref="A1:L151"/>
  <conditionalFormatting sqref="A2:L151">
    <cfRule type="expression" priority="2" aboveAverage="0" equalAverage="0" bottom="0" percent="0" rank="0" text="" dxfId="5">
      <formula>$E2="期限切れ"</formula>
    </cfRule>
    <cfRule type="expression" priority="3" aboveAverage="0" equalAverage="0" bottom="0" percent="0" rank="0" text="" dxfId="6">
      <formula>$E2="期限間近"</formula>
    </cfRule>
    <cfRule type="expression" priority="4" aboveAverage="0" equalAverage="0" bottom="0" percent="0" rank="0" text="" dxfId="7">
      <formula>$E2="自動更新"</formula>
    </cfRule>
  </conditionalFormatting>
  <dataValidations count="3">
    <dataValidation allowBlank="true" errorStyle="stop" operator="between" prompt="自動更新の契約なら「○」を選びます" promptTitle="自動更新" showDropDown="false" showErrorMessage="false" showInputMessage="false" sqref="D2:D151" type="list">
      <formula1>"○"</formula1>
      <formula2>0</formula2>
    </dataValidation>
    <dataValidation allowBlank="true" errorStyle="stop" operator="between" prompt="どちらが秘密情報を開示するか" promptTitle="種別" showDropDown="false" showErrorMessage="false" showInputMessage="false" sqref="G2:G151" type="list">
      <formula1>"相互,当社開示,先方開示"</formula1>
      <formula2>0</formula2>
    </dataValidation>
    <dataValidation allowBlank="true" error="日付として入力してください（例 2026/4/1）" errorStyle="stop" errorTitle="日付の形式" operator="between" showDropDown="false" showErrorMessage="true" showInputMessage="false" sqref="B2:C151" type="date">
      <formula1>DATE(1990,1,1)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20.85" hidden="false" customHeight="false" outlineLevel="0" collapsed="false">
      <c r="A1" s="9" t="s">
        <v>27</v>
      </c>
    </row>
    <row r="2" customFormat="false" ht="15" hidden="false" customHeight="false" outlineLevel="0" collapsed="false">
      <c r="A2" s="10" t="s">
        <v>28</v>
      </c>
    </row>
    <row r="3" customFormat="false" ht="15" hidden="false" customHeight="false" outlineLevel="0" collapsed="false">
      <c r="A3" s="11" t="s">
        <v>29</v>
      </c>
      <c r="B3" s="12" t="n">
        <v>90</v>
      </c>
      <c r="C3" s="10" t="s">
        <v>30</v>
      </c>
    </row>
    <row r="5" customFormat="false" ht="15" hidden="false" customHeight="false" outlineLevel="0" collapsed="false">
      <c r="A5" s="13" t="s">
        <v>31</v>
      </c>
    </row>
    <row r="6" customFormat="false" ht="15" hidden="false" customHeight="false" outlineLevel="0" collapsed="false">
      <c r="A6" s="14" t="s">
        <v>32</v>
      </c>
      <c r="B6" s="15" t="n">
        <f aca="false">COUNTA(NDA一覧!$A$2:$A$151)</f>
        <v>2</v>
      </c>
      <c r="C6" s="10" t="s">
        <v>33</v>
      </c>
    </row>
    <row r="7" customFormat="false" ht="15" hidden="false" customHeight="false" outlineLevel="0" collapsed="false">
      <c r="A7" s="14" t="s">
        <v>34</v>
      </c>
      <c r="B7" s="15" t="n">
        <f aca="false">IF(COUNTA(NDA一覧!$A$2:$A$151)=0,0,SUMPRODUCT((NDA一覧!$A$2:$A$151&lt;&gt;"")/COUNTIF(NDA一覧!$A$2:$A$151,NDA一覧!$A$2:$A$151&amp;"")))</f>
        <v>2</v>
      </c>
      <c r="C7" s="10" t="s">
        <v>35</v>
      </c>
    </row>
    <row r="8" customFormat="false" ht="15" hidden="false" customHeight="false" outlineLevel="0" collapsed="false">
      <c r="A8" s="14" t="s">
        <v>36</v>
      </c>
      <c r="B8" s="15" t="n">
        <f aca="true">SUMPRODUCT((YEAR(NDA一覧!$B$2:$B$151)=YEAR(TODAY()))*(NDA一覧!$A$2:$A$151&lt;&gt;""))</f>
        <v>1</v>
      </c>
      <c r="C8" s="10" t="s">
        <v>37</v>
      </c>
    </row>
    <row r="9" customFormat="false" ht="15" hidden="false" customHeight="false" outlineLevel="0" collapsed="false">
      <c r="A9" s="13" t="s">
        <v>38</v>
      </c>
    </row>
    <row r="10" customFormat="false" ht="15" hidden="false" customHeight="false" outlineLevel="0" collapsed="false">
      <c r="A10" s="14" t="s">
        <v>39</v>
      </c>
      <c r="B10" s="15" t="n">
        <f aca="false">COUNTIF(NDA一覧!$E$2:$E$151,"有効")</f>
        <v>1</v>
      </c>
      <c r="C10" s="10" t="s">
        <v>40</v>
      </c>
    </row>
    <row r="11" customFormat="false" ht="15" hidden="false" customHeight="false" outlineLevel="0" collapsed="false">
      <c r="A11" s="14" t="s">
        <v>41</v>
      </c>
      <c r="B11" s="15" t="n">
        <f aca="false">COUNTIF(NDA一覧!$E$2:$E$151,"期限間近")</f>
        <v>0</v>
      </c>
      <c r="C11" s="10" t="s">
        <v>42</v>
      </c>
    </row>
    <row r="12" customFormat="false" ht="15" hidden="false" customHeight="false" outlineLevel="0" collapsed="false">
      <c r="A12" s="14" t="s">
        <v>43</v>
      </c>
      <c r="B12" s="15" t="n">
        <f aca="false">COUNTIF(NDA一覧!$E$2:$E$151,"期限切れ")</f>
        <v>0</v>
      </c>
      <c r="C12" s="10" t="s">
        <v>44</v>
      </c>
    </row>
    <row r="13" customFormat="false" ht="15" hidden="false" customHeight="false" outlineLevel="0" collapsed="false">
      <c r="A13" s="14" t="s">
        <v>3</v>
      </c>
      <c r="B13" s="15" t="n">
        <f aca="false">COUNTIF(NDA一覧!$E$2:$E$151,"自動更新")</f>
        <v>1</v>
      </c>
      <c r="C13" s="10" t="s">
        <v>45</v>
      </c>
    </row>
    <row r="14" customFormat="false" ht="15" hidden="false" customHeight="false" outlineLevel="0" collapsed="false">
      <c r="A14" s="14" t="s">
        <v>46</v>
      </c>
      <c r="B14" s="15" t="n">
        <f aca="false">COUNTIF(NDA一覧!$E$2:$E$151,"期限未設定")</f>
        <v>0</v>
      </c>
      <c r="C14" s="10" t="s">
        <v>47</v>
      </c>
    </row>
    <row r="15" customFormat="false" ht="15" hidden="false" customHeight="false" outlineLevel="0" collapsed="false">
      <c r="A15" s="13" t="s">
        <v>48</v>
      </c>
    </row>
    <row r="16" customFormat="false" ht="15" hidden="false" customHeight="false" outlineLevel="0" collapsed="false">
      <c r="A16" s="14" t="s">
        <v>13</v>
      </c>
      <c r="B16" s="15" t="n">
        <f aca="false">COUNTIF(NDA一覧!$G$2:$G$151,"相互")</f>
        <v>1</v>
      </c>
    </row>
    <row r="17" customFormat="false" ht="15" hidden="false" customHeight="false" outlineLevel="0" collapsed="false">
      <c r="A17" s="14" t="s">
        <v>21</v>
      </c>
      <c r="B17" s="15" t="n">
        <f aca="false">COUNTIF(NDA一覧!$G$2:$G$151,"当社開示")</f>
        <v>1</v>
      </c>
    </row>
    <row r="18" customFormat="false" ht="15" hidden="false" customHeight="false" outlineLevel="0" collapsed="false">
      <c r="A18" s="14" t="s">
        <v>49</v>
      </c>
      <c r="B18" s="15" t="n">
        <f aca="false">COUNTIF(NDA一覧!$G$2:$G$151,"先方開示")</f>
        <v>0</v>
      </c>
    </row>
    <row r="20" customFormat="false" ht="15" hidden="false" customHeight="false" outlineLevel="0" collapsed="false">
      <c r="A20" s="13" t="s">
        <v>50</v>
      </c>
    </row>
    <row r="21" customFormat="false" ht="15" hidden="false" customHeight="false" outlineLevel="0" collapsed="false">
      <c r="A21" s="1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6"/>
  </cols>
  <sheetData>
    <row r="1" customFormat="false" ht="20.85" hidden="false" customHeight="false" outlineLevel="0" collapsed="false">
      <c r="A1" s="9" t="s">
        <v>52</v>
      </c>
    </row>
    <row r="2" customFormat="false" ht="15" hidden="false" customHeight="false" outlineLevel="0" collapsed="false">
      <c r="A2" s="17" t="s">
        <v>53</v>
      </c>
    </row>
    <row r="4" customFormat="false" ht="24" hidden="false" customHeight="true" outlineLevel="0" collapsed="false">
      <c r="A4" s="18" t="s">
        <v>54</v>
      </c>
      <c r="B4" s="19" t="s">
        <v>55</v>
      </c>
    </row>
    <row r="5" customFormat="false" ht="55.5" hidden="false" customHeight="true" outlineLevel="0" collapsed="false">
      <c r="A5" s="18" t="s">
        <v>56</v>
      </c>
      <c r="B5" s="20" t="s">
        <v>57</v>
      </c>
    </row>
    <row r="6" customFormat="false" ht="39.75" hidden="false" customHeight="true" outlineLevel="0" collapsed="false">
      <c r="A6" s="18" t="s">
        <v>58</v>
      </c>
      <c r="B6" s="20" t="s">
        <v>59</v>
      </c>
    </row>
    <row r="7" customFormat="false" ht="24" hidden="false" customHeight="true" outlineLevel="0" collapsed="false">
      <c r="A7" s="18" t="s">
        <v>60</v>
      </c>
      <c r="B7" s="20" t="s">
        <v>61</v>
      </c>
    </row>
    <row r="8" customFormat="false" ht="39.75" hidden="false" customHeight="true" outlineLevel="0" collapsed="false">
      <c r="A8" s="18" t="s">
        <v>62</v>
      </c>
      <c r="B8" s="20" t="s">
        <v>63</v>
      </c>
    </row>
    <row r="9" customFormat="false" ht="24" hidden="false" customHeight="true" outlineLevel="0" collapsed="false">
      <c r="A9" s="18" t="s">
        <v>3</v>
      </c>
      <c r="B9" s="20" t="s">
        <v>64</v>
      </c>
    </row>
    <row r="10" customFormat="false" ht="39.75" hidden="false" customHeight="true" outlineLevel="0" collapsed="false">
      <c r="A10" s="18" t="s">
        <v>65</v>
      </c>
      <c r="B10" s="19" t="s">
        <v>66</v>
      </c>
    </row>
    <row r="11" customFormat="false" ht="24" hidden="false" customHeight="true" outlineLevel="0" collapsed="false">
      <c r="A11" s="18" t="s">
        <v>67</v>
      </c>
      <c r="B11" s="19" t="s">
        <v>68</v>
      </c>
    </row>
    <row r="12" customFormat="false" ht="39.75" hidden="false" customHeight="true" outlineLevel="0" collapsed="false">
      <c r="A12" s="18" t="s">
        <v>69</v>
      </c>
      <c r="B12" s="20" t="s">
        <v>70</v>
      </c>
    </row>
    <row r="13" customFormat="false" ht="39.75" hidden="false" customHeight="true" outlineLevel="0" collapsed="false">
      <c r="A13" s="18" t="s">
        <v>71</v>
      </c>
      <c r="B13" s="20" t="s">
        <v>72</v>
      </c>
    </row>
    <row r="14" customFormat="false" ht="39.75" hidden="false" customHeight="true" outlineLevel="0" collapsed="false">
      <c r="A14" s="18" t="s">
        <v>73</v>
      </c>
      <c r="B14" s="19" t="s">
        <v>74</v>
      </c>
    </row>
    <row r="15" customFormat="false" ht="39.75" hidden="false" customHeight="true" outlineLevel="0" collapsed="false">
      <c r="A15" s="21" t="s">
        <v>75</v>
      </c>
      <c r="B15" s="19" t="s">
        <v>76</v>
      </c>
    </row>
    <row r="16" customFormat="false" ht="39.75" hidden="false" customHeight="true" outlineLevel="0" collapsed="false">
      <c r="A16" s="18" t="s">
        <v>77</v>
      </c>
      <c r="B16" s="19" t="s">
        <v>78</v>
      </c>
    </row>
    <row r="18" customFormat="false" ht="15" hidden="false" customHeight="false" outlineLevel="0" collapsed="false">
      <c r="A18" s="22" t="s">
        <v>79</v>
      </c>
    </row>
    <row r="19" customFormat="false" ht="15" hidden="false" customHeight="false" outlineLevel="0" collapsed="false">
      <c r="A19" s="23" t="s">
        <v>80</v>
      </c>
      <c r="B19" s="17" t="s">
        <v>81</v>
      </c>
    </row>
    <row r="20" customFormat="false" ht="15" hidden="false" customHeight="false" outlineLevel="0" collapsed="false">
      <c r="A20" s="24" t="s">
        <v>82</v>
      </c>
      <c r="B20" s="17" t="s">
        <v>83</v>
      </c>
    </row>
    <row r="21" customFormat="false" ht="15" hidden="false" customHeight="false" outlineLevel="0" collapsed="false">
      <c r="A21" s="25" t="s">
        <v>84</v>
      </c>
      <c r="B21" s="17" t="s">
        <v>85</v>
      </c>
    </row>
    <row r="22" customFormat="false" ht="15" hidden="false" customHeight="false" outlineLevel="0" collapsed="false">
      <c r="A22" s="26" t="s">
        <v>86</v>
      </c>
      <c r="B22" s="17" t="s">
        <v>87</v>
      </c>
    </row>
    <row r="23" customFormat="false" ht="15" hidden="false" customHeight="false" outlineLevel="0" collapsed="false">
      <c r="A23" s="27" t="s">
        <v>88</v>
      </c>
      <c r="B23" s="17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2026-09-01T02:17:42Z</dcterms:created>
  <dc:creator>openpyxl</dc:creator>
  <dc:description/>
  <dc:language>en-US</dc:language>
  <cp:lastModifiedBy/>
  <dcterms:modified xsi:type="dcterms:W3CDTF">2026-09-01T02:17:42Z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