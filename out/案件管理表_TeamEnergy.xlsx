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件管理" sheetId="1" state="visible" r:id="rId1"/>
    <sheet name="判定基準" sheetId="2" state="visible" r:id="rId2"/>
    <sheet name="選択肢" sheetId="3" state="visible" r:id="rId3"/>
  </sheets>
  <definedNames>
    <definedName name="_xlnm._FilterDatabase" localSheetId="0" hidden="1">'案件管理'!$A$4:$AP$104</definedName>
  </definedNames>
  <calcPr calcId="124519" fullCalcOnLoad="1"/>
</workbook>
</file>

<file path=xl/styles.xml><?xml version="1.0" encoding="utf-8"?>
<styleSheet xmlns="http://schemas.openxmlformats.org/spreadsheetml/2006/main">
  <numFmts count="4">
    <numFmt numFmtId="164" formatCode="#,##0.0"/>
    <numFmt numFmtId="165" formatCode="0.0&quot;倍&quot;"/>
    <numFmt numFmtId="166" formatCode="0.0"/>
    <numFmt numFmtId="167" formatCode="yyyy/mm/dd"/>
  </numFmts>
  <fonts count="7">
    <font>
      <name val="Calibri"/>
      <family val="2"/>
      <color theme="1"/>
      <sz val="11"/>
      <scheme val="minor"/>
    </font>
    <font>
      <name val="Arial"/>
      <b val="1"/>
      <color rgb="00141414"/>
      <sz val="14"/>
    </font>
    <font>
      <name val="Arial"/>
      <color rgb="006D6D6F"/>
      <sz val="9"/>
    </font>
    <font>
      <name val="Arial"/>
      <b val="1"/>
      <color rgb="00FFFFFF"/>
      <sz val="9"/>
    </font>
    <font>
      <name val="Arial"/>
      <b val="1"/>
      <color rgb="00141414"/>
      <sz val="9"/>
    </font>
    <font>
      <name val="Arial"/>
      <color rgb="00141414"/>
      <sz val="10"/>
    </font>
    <font>
      <name val="Arial"/>
      <color rgb="000000FF"/>
      <sz val="10"/>
    </font>
  </fonts>
  <fills count="13">
    <fill>
      <patternFill/>
    </fill>
    <fill>
      <patternFill patternType="gray125"/>
    </fill>
    <fill>
      <patternFill patternType="solid">
        <fgColor rgb="005B7C99"/>
      </patternFill>
    </fill>
    <fill>
      <patternFill patternType="solid">
        <fgColor rgb="007B8B9A"/>
      </patternFill>
    </fill>
    <fill>
      <patternFill patternType="solid">
        <fgColor rgb="003D6B8E"/>
      </patternFill>
    </fill>
    <fill>
      <patternFill patternType="solid">
        <fgColor rgb="001F4E79"/>
      </patternFill>
    </fill>
    <fill>
      <patternFill patternType="solid">
        <fgColor rgb="002E6B4F"/>
      </patternFill>
    </fill>
    <fill>
      <patternFill patternType="solid">
        <fgColor rgb="006B7F8C"/>
      </patternFill>
    </fill>
    <fill>
      <patternFill patternType="solid">
        <fgColor rgb="009AA5AD"/>
      </patternFill>
    </fill>
    <fill>
      <patternFill patternType="solid">
        <fgColor rgb="00CFE2F3"/>
      </patternFill>
    </fill>
    <fill>
      <patternFill patternType="solid">
        <fgColor rgb="00E2E2E2"/>
      </patternFill>
    </fill>
    <fill>
      <patternFill patternType="solid">
        <fgColor rgb="00FFFDE7"/>
      </patternFill>
    </fill>
    <fill>
      <patternFill patternType="solid">
        <fgColor rgb="00F3F3F3"/>
      </patternFill>
    </fill>
  </fills>
  <borders count="3">
    <border>
      <left/>
      <right/>
      <top/>
      <bottom/>
      <diagonal/>
    </border>
    <border>
      <left style="thin">
        <color rgb="00BFBFBF"/>
      </left>
      <right style="thin">
        <color rgb="00BFBFBF"/>
      </right>
      <top style="thin">
        <color rgb="00BFBFBF"/>
      </top>
      <bottom style="medium">
        <color rgb="009E9E9E"/>
      </bottom>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6" fillId="11" borderId="2" applyAlignment="1" pivotButton="0" quotePrefix="0" xfId="0">
      <alignment vertical="top"/>
    </xf>
    <xf numFmtId="0" fontId="6" fillId="11" borderId="2" applyAlignment="1" pivotButton="0" quotePrefix="0" xfId="0">
      <alignment vertical="top" wrapText="1"/>
    </xf>
    <xf numFmtId="164" fontId="6" fillId="11" borderId="2" applyAlignment="1" pivotButton="0" quotePrefix="0" xfId="0">
      <alignment vertical="top"/>
    </xf>
    <xf numFmtId="165" fontId="5" fillId="12" borderId="2" applyAlignment="1" pivotButton="0" quotePrefix="0" xfId="0">
      <alignment vertical="top"/>
    </xf>
    <xf numFmtId="0" fontId="6" fillId="11" borderId="2" applyAlignment="1" pivotButton="0" quotePrefix="0" xfId="0">
      <alignment horizontal="center" vertical="center"/>
    </xf>
    <xf numFmtId="0" fontId="5" fillId="12" borderId="2" applyAlignment="1" pivotButton="0" quotePrefix="0" xfId="0">
      <alignment vertical="top"/>
    </xf>
    <xf numFmtId="9" fontId="5" fillId="12" borderId="2" applyAlignment="1" pivotButton="0" quotePrefix="0" xfId="0">
      <alignment vertical="top"/>
    </xf>
    <xf numFmtId="167" fontId="6" fillId="11" borderId="2" applyAlignment="1" pivotButton="0" quotePrefix="0" xfId="0">
      <alignment vertical="top"/>
    </xf>
    <xf numFmtId="0" fontId="5" fillId="11" borderId="2" applyAlignment="1" pivotButton="0" quotePrefix="0" xfId="0">
      <alignment vertical="top" wrapText="1"/>
    </xf>
    <xf numFmtId="166" fontId="5" fillId="12" borderId="2" applyAlignment="1" pivotButton="0" quotePrefix="0" xfId="0">
      <alignment vertical="top"/>
    </xf>
    <xf numFmtId="167" fontId="5" fillId="11" borderId="2" applyAlignment="1" pivotButton="0" quotePrefix="0" xfId="0">
      <alignment vertical="top"/>
    </xf>
    <xf numFmtId="0" fontId="5" fillId="11" borderId="2" applyAlignment="1" pivotButton="0" quotePrefix="0" xfId="0">
      <alignment vertical="top"/>
    </xf>
    <xf numFmtId="164" fontId="5" fillId="11" borderId="2" applyAlignment="1" pivotButton="0" quotePrefix="0" xfId="0">
      <alignment vertical="top"/>
    </xf>
    <xf numFmtId="0" fontId="5" fillId="11" borderId="2" applyAlignment="1" pivotButton="0" quotePrefix="0" xfId="0">
      <alignment horizontal="center" vertical="center"/>
    </xf>
    <xf numFmtId="0" fontId="4" fillId="9" borderId="2" applyAlignment="1" pivotButton="0" quotePrefix="0" xfId="0">
      <alignment vertical="top" wrapText="1"/>
    </xf>
    <xf numFmtId="0" fontId="5" fillId="0" borderId="2" applyAlignment="1" pivotButton="0" quotePrefix="0" xfId="0">
      <alignment vertical="top" wrapText="1"/>
    </xf>
    <xf numFmtId="0" fontId="4" fillId="0" borderId="0" pivotButton="0" quotePrefix="0" xfId="0"/>
    <xf numFmtId="0" fontId="5" fillId="0" borderId="0" pivotButton="0" quotePrefix="0" xfId="0"/>
    <xf numFmtId="0" fontId="4" fillId="9" borderId="0" pivotButton="0" quotePrefix="0" xfId="0"/>
  </cellXfs>
  <cellStyles count="1">
    <cellStyle name="Normal" xfId="0" builtinId="0" hidden="0"/>
  </cellStyles>
  <dxfs count="6">
    <dxf>
      <fill>
        <patternFill patternType="solid">
          <fgColor rgb="00B7E1CD"/>
        </patternFill>
      </fill>
    </dxf>
    <dxf>
      <fill>
        <patternFill patternType="solid">
          <fgColor rgb="00D9EAD3"/>
        </patternFill>
      </fill>
    </dxf>
    <dxf>
      <fill>
        <patternFill patternType="solid">
          <fgColor rgb="00FFF2CC"/>
        </patternFill>
      </fill>
    </dxf>
    <dxf>
      <fill>
        <patternFill patternType="solid">
          <fgColor rgb="00FCE5CD"/>
        </patternFill>
      </fill>
    </dxf>
    <dxf>
      <fill>
        <patternFill patternType="solid">
          <fgColor rgb="00F4C7C3"/>
        </patternFill>
      </fill>
    </dxf>
    <dxf>
      <fill>
        <patternFill patternType="solid">
          <f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deal-screening</author>
  </authors>
  <commentList>
    <comment ref="I4" authorId="0" shapeId="0">
      <text>
        <t>【Must】×が1つでも付けば総合C
投資ポリシーとの合致／業種ターゲットとの整合
◯ 重点業種①②③に直接該当／△ 追加B群で罠を回避できる形／× NG業種7カテゴリ・追加C群</t>
      </text>
    </comment>
    <comment ref="J4" authorId="0" shapeId="0">
      <text>
        <t>【Must】×が1つでも付けば総合C
投資ポリシーとの合致／4億円以下のTE拠出額で承継できるか
◯ 3.0億円以下／△ 4.0〜4.5億円／× 5.0億円超</t>
      </text>
    </comment>
    <comment ref="K4" authorId="0" shapeId="0">
      <text>
        <t>投資ポリシーとの合致／非キャッシュ性資産が重くないか
（有形固定資産＋棚卸）÷実態EBITDA　◯ 2.0倍以下／△ 3.0〜5.0倍／× 8.0倍超</t>
      </text>
    </comment>
    <comment ref="L4" authorId="0" shapeId="0">
      <text>
        <t>【Must】×が1つでも付けば総合C
安定黒字か／実態EBITDAが3期連続黒字か
◯ 3期連続黒字かつ増加基調／△ 直近が前期比▲20%以上／× 2期以上赤字</t>
      </text>
    </comment>
    <comment ref="M4" authorId="0" shapeId="0">
      <text>
        <t>付加価値は高いか／3期連続で粗利率30%以上か
◯ 3期すべて30%以上／△ 3期平均25〜30%／× 3期平均20%未満・5pt以上低下</t>
      </text>
    </comment>
    <comment ref="N4" authorId="0" shapeId="0">
      <text>
        <t>永続性は高いか／市場は10年後も残り続けるか
◯ 人口動態・法定需要が後押し／△ 横ばい・代替技術の影響が読めない／× 構造的に消える</t>
      </text>
    </comment>
    <comment ref="O4" authorId="0" shapeId="0">
      <text>
        <t>【Must】×が1つでも付けば総合C
価格は割高ではないか／②(EV＋承継コスト)/EBITDA
EV＝譲渡価格−実質NetCash（＝簿価NetCash−平均必要運転資金）
◯ 5.0倍以下／△ 6.0〜7.0倍／× 8.0倍超</t>
      </text>
    </comment>
    <comment ref="P4" authorId="0" shapeId="0">
      <text>
        <t>事業ボラティリティは低いか／ストック型かフロー型か
◯ ストック比率70%以上／△ リピート中心だが契約なし／× スポット・案件単位が主</t>
      </text>
    </comment>
    <comment ref="Q4" authorId="0" shapeId="0">
      <text>
        <t>事業ボラティリティは低いか／流行り廃りはあるか
◯ 生活必需・法定需要／△ 一部商材がトレンド依存／× 嗜好・流行・立地が売上を左右</t>
      </text>
    </comment>
    <comment ref="R4" authorId="0" shapeId="0">
      <text>
        <t>売却理由／隠された大きなリスクは無いか
◯ 高齢・後継者不在で業績と整合／△ 理由が一般的で裏付け不足／× 業績悪化・係争の兆候と符合</t>
      </text>
    </comment>
    <comment ref="S4" authorId="0" shapeId="0">
      <text>
        <t>特定取引先に依存していないか／上位1社の売上比率・仕入比率（悪い方）
◯ 10%未満／△ 20〜30%／× 50%以上・代替不能な単一発注先</t>
      </text>
    </comment>
    <comment ref="T4" authorId="0" shapeId="0">
      <text>
        <t>特定人材に依存していないか／依存人材の代替可能性
◯ 社長不在でも運営可／△ 社長の営業依存（顧問就任で緩和）／× 有資格者が社長のみ・職人依存</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P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0" customWidth="1" min="3" max="3"/>
    <col width="18" customWidth="1" min="4" max="4"/>
    <col width="9" customWidth="1" min="5" max="5"/>
    <col width="10" customWidth="1" min="6" max="6"/>
    <col width="11" customWidth="1" min="7" max="7"/>
    <col width="9"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16" customWidth="1" min="21" max="21"/>
    <col width="8" customWidth="1" min="22" max="22"/>
    <col width="12" customWidth="1" min="23" max="23"/>
    <col width="26" customWidth="1" min="24" max="24"/>
    <col width="10" customWidth="1" min="25" max="25"/>
    <col width="11" customWidth="1" min="26" max="26"/>
    <col width="34" customWidth="1" min="27" max="27"/>
    <col width="26" customWidth="1" min="28" max="28"/>
    <col width="10" customWidth="1" min="29" max="29"/>
    <col width="18" customWidth="1" min="30" max="30"/>
    <col width="12" customWidth="1" min="31" max="31"/>
    <col width="11" customWidth="1" min="32" max="32"/>
    <col width="11" customWidth="1" min="33" max="33"/>
    <col width="12" customWidth="1" min="34" max="34"/>
    <col width="15" customWidth="1" min="35" max="35"/>
    <col width="12" customWidth="1" min="36" max="36"/>
    <col width="18" customWidth="1" min="37" max="37"/>
    <col width="22" customWidth="1" min="38" max="38"/>
    <col hidden="1" width="7" customWidth="1" min="39" max="39"/>
    <col hidden="1" width="7" customWidth="1" min="40" max="40"/>
    <col hidden="1" width="7" customWidth="1" min="41" max="41"/>
    <col hidden="1" width="7" customWidth="1" min="42" max="42"/>
  </cols>
  <sheetData>
    <row r="1">
      <c r="A1" s="1" t="inlineStr">
        <is>
          <t>案件管理（初期検討まで1ページ）</t>
        </is>
      </c>
    </row>
    <row r="2">
      <c r="A2" s="2" t="inlineStr">
        <is>
          <t>【凡例】薄い黄色＝入力欄、灰色＝自動計算（触らない）。金額は百万円。◯△×の12列は右クリック→メモで評価基準が出ます。5行目は架空の記入例（削除可）、6行目は実案件の入力済みサンプル。得点・判定済などの内部計算列は右端に隠してあります。</t>
        </is>
      </c>
    </row>
    <row r="3" ht="18" customHeight="1">
      <c r="A3" s="3" t="inlineStr">
        <is>
          <t>キー</t>
        </is>
      </c>
      <c r="C3" s="4" t="inlineStr">
        <is>
          <t>案件情報</t>
        </is>
      </c>
      <c r="E3" s="5" t="inlineStr">
        <is>
          <t>主要数値（単位：百万円）</t>
        </is>
      </c>
      <c r="I3" s="6" t="inlineStr">
        <is>
          <t>初期検討（投資条件タブ 青塗り12項目）　★=Must</t>
        </is>
      </c>
      <c r="U3" s="7" t="inlineStr">
        <is>
          <t>判定</t>
        </is>
      </c>
      <c r="W3" s="8" t="inlineStr">
        <is>
          <t>進行管理</t>
        </is>
      </c>
      <c r="AC3" s="9" t="inlineStr">
        <is>
          <t>補足（仲介・価格の内訳・保管先）</t>
        </is>
      </c>
    </row>
    <row r="4" ht="34" customHeight="1">
      <c r="A4" s="10" t="inlineStr">
        <is>
          <t>No</t>
        </is>
      </c>
      <c r="B4" s="10" t="inlineStr">
        <is>
          <t>企業名</t>
        </is>
      </c>
      <c r="C4" s="10" t="inlineStr">
        <is>
          <t>事業内容</t>
        </is>
      </c>
      <c r="D4" s="10" t="inlineStr">
        <is>
          <t>業種区分</t>
        </is>
      </c>
      <c r="E4" s="10" t="inlineStr">
        <is>
          <t>譲渡価格</t>
        </is>
      </c>
      <c r="F4" s="10" t="inlineStr">
        <is>
          <t>実態EBITDA</t>
        </is>
      </c>
      <c r="G4" s="11" t="inlineStr">
        <is>
          <t>EV/EBITDA
マルチプル</t>
        </is>
      </c>
      <c r="H4" s="10" t="inlineStr">
        <is>
          <t>売上</t>
        </is>
      </c>
      <c r="I4" s="10" t="inlineStr">
        <is>
          <t>★
1-1</t>
        </is>
      </c>
      <c r="J4" s="10" t="inlineStr">
        <is>
          <t>★
1-2</t>
        </is>
      </c>
      <c r="K4" s="10" t="inlineStr">
        <is>
          <t>1-3</t>
        </is>
      </c>
      <c r="L4" s="10" t="inlineStr">
        <is>
          <t>★
2</t>
        </is>
      </c>
      <c r="M4" s="10" t="inlineStr">
        <is>
          <t>3</t>
        </is>
      </c>
      <c r="N4" s="10" t="inlineStr">
        <is>
          <t>4</t>
        </is>
      </c>
      <c r="O4" s="10" t="inlineStr">
        <is>
          <t>★
5</t>
        </is>
      </c>
      <c r="P4" s="10" t="inlineStr">
        <is>
          <t>8-1</t>
        </is>
      </c>
      <c r="Q4" s="10" t="inlineStr">
        <is>
          <t>8-2</t>
        </is>
      </c>
      <c r="R4" s="10" t="inlineStr">
        <is>
          <t>9</t>
        </is>
      </c>
      <c r="S4" s="10" t="inlineStr">
        <is>
          <t>11</t>
        </is>
      </c>
      <c r="T4" s="10" t="inlineStr">
        <is>
          <t>12</t>
        </is>
      </c>
      <c r="U4" s="11" t="inlineStr">
        <is>
          <t>総合判定</t>
        </is>
      </c>
      <c r="V4" s="11" t="inlineStr">
        <is>
          <t>達成率</t>
        </is>
      </c>
      <c r="W4" s="10" t="inlineStr">
        <is>
          <t>ステータス</t>
        </is>
      </c>
      <c r="X4" s="10" t="inlineStr">
        <is>
          <t>次アクション</t>
        </is>
      </c>
      <c r="Y4" s="10" t="inlineStr">
        <is>
          <t>期限</t>
        </is>
      </c>
      <c r="Z4" s="10" t="inlineStr">
        <is>
          <t>意向表明期限</t>
        </is>
      </c>
      <c r="AA4" s="10" t="inlineStr">
        <is>
          <t>初期検討メモ</t>
        </is>
      </c>
      <c r="AB4" s="10" t="inlineStr">
        <is>
          <t>見送り理由</t>
        </is>
      </c>
      <c r="AC4" s="10" t="inlineStr">
        <is>
          <t>流入日</t>
        </is>
      </c>
      <c r="AD4" s="10" t="inlineStr">
        <is>
          <t>仲介会社</t>
        </is>
      </c>
      <c r="AE4" s="10" t="inlineStr">
        <is>
          <t>仲介担当者</t>
        </is>
      </c>
      <c r="AF4" s="10" t="inlineStr">
        <is>
          <t>所在地</t>
        </is>
      </c>
      <c r="AG4" s="10" t="inlineStr">
        <is>
          <t>簿価NetCash</t>
        </is>
      </c>
      <c r="AH4" s="10" t="inlineStr">
        <is>
          <t>平均必要
運転資金</t>
        </is>
      </c>
      <c r="AI4" s="11" t="inlineStr">
        <is>
          <t>売上レンジ</t>
        </is>
      </c>
      <c r="AJ4" s="11" t="inlineStr">
        <is>
          <t>参考：簿価
ベース倍率</t>
        </is>
      </c>
      <c r="AK4" s="10" t="inlineStr">
        <is>
          <t>資料保管先／IM</t>
        </is>
      </c>
      <c r="AL4" s="10" t="inlineStr">
        <is>
          <t>備考</t>
        </is>
      </c>
      <c r="AM4" s="11" t="inlineStr">
        <is>
          <t>得点</t>
        </is>
      </c>
      <c r="AN4" s="11" t="inlineStr">
        <is>
          <t>判定済</t>
        </is>
      </c>
      <c r="AO4" s="11" t="inlineStr">
        <is>
          <t>×件数</t>
        </is>
      </c>
      <c r="AP4" s="11" t="inlineStr">
        <is>
          <t>Must×</t>
        </is>
      </c>
    </row>
    <row r="5">
      <c r="A5" s="12" t="n">
        <v>1</v>
      </c>
      <c r="B5" s="12" t="inlineStr">
        <is>
          <t>（記入例）株式会社サンプル配食サービス</t>
        </is>
      </c>
      <c r="C5" s="13" t="inlineStr">
        <is>
          <t>高齢者向けの栄養管理食を製造し、定期宅配で提供。売上の8割が月額定期契約</t>
        </is>
      </c>
      <c r="D5" s="12" t="inlineStr">
        <is>
          <t>重点①シニア</t>
        </is>
      </c>
      <c r="E5" s="14" t="n">
        <v>480</v>
      </c>
      <c r="F5" s="14" t="n">
        <v>95</v>
      </c>
      <c r="G5" s="15">
        <f>IF(OR($E5="",$F5="",$AG5="",$AH5="",$F5&lt;=0),"",($E5-($AG5-$AH5))/$F5)</f>
        <v/>
      </c>
      <c r="H5" s="14" t="n">
        <v>1240</v>
      </c>
      <c r="I5" s="16" t="inlineStr">
        <is>
          <t>◯</t>
        </is>
      </c>
      <c r="J5" s="16" t="inlineStr">
        <is>
          <t>◯</t>
        </is>
      </c>
      <c r="K5" s="16" t="inlineStr">
        <is>
          <t>◯</t>
        </is>
      </c>
      <c r="L5" s="16" t="inlineStr">
        <is>
          <t>◯</t>
        </is>
      </c>
      <c r="M5" s="16" t="inlineStr">
        <is>
          <t>◯</t>
        </is>
      </c>
      <c r="N5" s="16" t="inlineStr">
        <is>
          <t>◯</t>
        </is>
      </c>
      <c r="O5" s="16" t="inlineStr">
        <is>
          <t>△〜◯</t>
        </is>
      </c>
      <c r="P5" s="16" t="inlineStr">
        <is>
          <t>◯</t>
        </is>
      </c>
      <c r="Q5" s="16" t="inlineStr">
        <is>
          <t>△〜◯</t>
        </is>
      </c>
      <c r="R5" s="16" t="inlineStr">
        <is>
          <t>△</t>
        </is>
      </c>
      <c r="S5" s="16" t="inlineStr">
        <is>
          <t>△〜◯</t>
        </is>
      </c>
      <c r="T5" s="16" t="inlineStr">
        <is>
          <t>△</t>
        </is>
      </c>
      <c r="U5" s="17">
        <f>IF($AN5=0,"",IF($AP5&gt;0,"C：見送り（Must×）",IF($AO5&gt;=2,"C：見送り（×2件以上）",IF($AN5&lt;6,"B：追加情報を取得",IF(AND($AO5=0,$AM5/($AN5*2)&gt;=0.75),"A：進める","B：追加情報を取得")))))</f>
        <v/>
      </c>
      <c r="V5" s="18">
        <f>IF($AN5=0,"",$AM5/($AN5*2))</f>
        <v/>
      </c>
      <c r="W5" s="12" t="inlineStr">
        <is>
          <t>初期検討中</t>
        </is>
      </c>
      <c r="X5" s="13" t="inlineStr">
        <is>
          <t>得意先別売上構成の受領を依頼</t>
        </is>
      </c>
      <c r="Y5" s="19" t="inlineStr">
        <is>
          <t>2026/10/03</t>
        </is>
      </c>
      <c r="Z5" s="19" t="inlineStr">
        <is>
          <t>2026/10/31</t>
        </is>
      </c>
      <c r="AA5" s="13" t="inlineStr">
        <is>
          <t>ストック性が高く重点業種に直球。価格は②5.1倍で許容内</t>
        </is>
      </c>
      <c r="AB5" s="20" t="n"/>
      <c r="AC5" s="19" t="inlineStr">
        <is>
          <t>2026/09/20</t>
        </is>
      </c>
      <c r="AD5" s="12" t="inlineStr">
        <is>
          <t>maXアドバイザリー</t>
        </is>
      </c>
      <c r="AE5" s="12" t="inlineStr">
        <is>
          <t>稲見様</t>
        </is>
      </c>
      <c r="AF5" s="12" t="inlineStr">
        <is>
          <t>大阪府</t>
        </is>
      </c>
      <c r="AG5" s="14" t="n">
        <v>60</v>
      </c>
      <c r="AH5" s="14" t="n">
        <v>25</v>
      </c>
      <c r="AI5" s="17">
        <f>IF($H5="","",IF($H5&lt;300,"下限未満（対象外）",IF($H5&gt;3000,"上限超（対象外）","範囲内")))</f>
        <v/>
      </c>
      <c r="AJ5" s="15">
        <f>IF(OR($E5="",$F5="",$AG5="",$F5&lt;=0),"",($E5-$AG5)/$F5)</f>
        <v/>
      </c>
      <c r="AK5" s="12" t="inlineStr">
        <is>
          <t>仲介会社資料管理／maX</t>
        </is>
      </c>
      <c r="AL5" s="13" t="inlineStr">
        <is>
          <t>架空の例。使い始めるときに削除してください</t>
        </is>
      </c>
      <c r="AM5" s="21">
        <f>COUNTIF($I5:$T5,"◯")*2+COUNTIF($I5:$T5,"△〜◯")*1.5+COUNTIF($I5:$T5,"△")*1+COUNTIF($I5:$T5,"×〜△")*0.5</f>
        <v/>
      </c>
      <c r="AN5" s="17">
        <f>COUNTIF($I5:$T5,"◯")+COUNTIF($I5:$T5,"△〜◯")+COUNTIF($I5:$T5,"△")+COUNTIF($I5:$T5,"×〜△")+COUNTIF($I5:$T5,"×")</f>
        <v/>
      </c>
      <c r="AO5" s="17">
        <f>COUNTIF($I5:$T5,"×")</f>
        <v/>
      </c>
      <c r="AP5" s="17">
        <f>COUNTIF($I5,"×")+COUNTIF($J5,"×")+COUNTIF($L5,"×")+COUNTIF($O5,"×")</f>
        <v/>
      </c>
    </row>
    <row r="6">
      <c r="A6" s="12" t="n">
        <v>2</v>
      </c>
      <c r="B6" s="12" t="inlineStr">
        <is>
          <t>尾形工業株式会社</t>
        </is>
      </c>
      <c r="C6" s="13" t="inlineStr">
        <is>
          <t>左官工事。マンション・ビルの補修／断面修復が約70%、一般住宅の漆喰・珪藻土塗りが約30%。自社職人33名</t>
        </is>
      </c>
      <c r="D6" s="12" t="inlineStr">
        <is>
          <t>NG業種7カテゴリ</t>
        </is>
      </c>
      <c r="E6" s="14" t="n">
        <v>60</v>
      </c>
      <c r="F6" s="14" t="n">
        <v>24.1</v>
      </c>
      <c r="G6" s="15">
        <f>IF(OR($E6="",$F6="",$AG6="",$AH6="",$F6&lt;=0),"",($E6-($AG6-$AH6))/$F6)</f>
        <v/>
      </c>
      <c r="H6" s="14" t="n">
        <v>774</v>
      </c>
      <c r="I6" s="16" t="inlineStr">
        <is>
          <t>×</t>
        </is>
      </c>
      <c r="J6" s="16" t="inlineStr">
        <is>
          <t>◯</t>
        </is>
      </c>
      <c r="K6" s="16" t="inlineStr">
        <is>
          <t>×〜△</t>
        </is>
      </c>
      <c r="L6" s="16" t="inlineStr">
        <is>
          <t>◯</t>
        </is>
      </c>
      <c r="M6" s="16" t="inlineStr">
        <is>
          <t>×〜△</t>
        </is>
      </c>
      <c r="N6" s="16" t="inlineStr">
        <is>
          <t>△</t>
        </is>
      </c>
      <c r="O6" s="16" t="inlineStr">
        <is>
          <t>×</t>
        </is>
      </c>
      <c r="P6" s="16" t="inlineStr">
        <is>
          <t>△</t>
        </is>
      </c>
      <c r="Q6" s="16" t="inlineStr">
        <is>
          <t>△〜◯</t>
        </is>
      </c>
      <c r="R6" s="16" t="inlineStr">
        <is>
          <t>×〜△</t>
        </is>
      </c>
      <c r="S6" s="16" t="inlineStr">
        <is>
          <t>－</t>
        </is>
      </c>
      <c r="T6" s="16" t="inlineStr">
        <is>
          <t>△</t>
        </is>
      </c>
      <c r="U6" s="17">
        <f>IF($AN6=0,"",IF($AP6&gt;0,"C：見送り（Must×）",IF($AO6&gt;=2,"C：見送り（×2件以上）",IF($AN6&lt;6,"B：追加情報を取得",IF(AND($AO6=0,$AM6/($AN6*2)&gt;=0.75),"A：進める","B：追加情報を取得")))))</f>
        <v/>
      </c>
      <c r="V6" s="18">
        <f>IF($AN6=0,"",$AM6/($AN6*2))</f>
        <v/>
      </c>
      <c r="W6" s="12" t="inlineStr">
        <is>
          <t>見送り</t>
        </is>
      </c>
      <c r="X6" s="13" t="inlineStr">
        <is>
          <t>見送りの連絡と、今後の案件テーマのすり合わせ</t>
        </is>
      </c>
      <c r="Y6" s="19" t="inlineStr">
        <is>
          <t>2026/10/02</t>
        </is>
      </c>
      <c r="Z6" s="22" t="n"/>
      <c r="AA6" s="13" t="inlineStr">
        <is>
          <t>業種がNG❹（職人依存型の建設工事）。粗利率18.4%、外注費53%。得意先別売上は未開示</t>
        </is>
      </c>
      <c r="AB6" s="13" t="inlineStr">
        <is>
          <t>NG業種に該当し、EV/EBITDAも19.4倍で価格条件を満たさない</t>
        </is>
      </c>
      <c r="AC6" s="19" t="inlineStr">
        <is>
          <t>2026/09/28</t>
        </is>
      </c>
      <c r="AD6" s="12" t="inlineStr">
        <is>
          <t>maXアドバイザリー</t>
        </is>
      </c>
      <c r="AE6" s="12" t="inlineStr">
        <is>
          <t>稲見様</t>
        </is>
      </c>
      <c r="AF6" s="12" t="inlineStr">
        <is>
          <t>千葉県船橋市</t>
        </is>
      </c>
      <c r="AG6" s="14" t="n">
        <v>-206.9</v>
      </c>
      <c r="AH6" s="14" t="n">
        <v>200.4</v>
      </c>
      <c r="AI6" s="17">
        <f>IF($H6="","",IF($H6&lt;300,"下限未満（対象外）",IF($H6&gt;3000,"上限超（対象外）","範囲内")))</f>
        <v/>
      </c>
      <c r="AJ6" s="15">
        <f>IF(OR($E6="",$F6="",$AG6="",$F6&lt;=0),"",($E6-$AG6)/$F6)</f>
        <v/>
      </c>
      <c r="AK6" s="12" t="inlineStr">
        <is>
          <t>仲介会社資料管理／maX</t>
        </is>
      </c>
      <c r="AL6" s="13" t="inlineStr">
        <is>
          <t>IMに第三者公表を控える旨の記載あり。外部共有時は注意</t>
        </is>
      </c>
      <c r="AM6" s="21">
        <f>COUNTIF($I6:$T6,"◯")*2+COUNTIF($I6:$T6,"△〜◯")*1.5+COUNTIF($I6:$T6,"△")*1+COUNTIF($I6:$T6,"×〜△")*0.5</f>
        <v/>
      </c>
      <c r="AN6" s="17">
        <f>COUNTIF($I6:$T6,"◯")+COUNTIF($I6:$T6,"△〜◯")+COUNTIF($I6:$T6,"△")+COUNTIF($I6:$T6,"×〜△")+COUNTIF($I6:$T6,"×")</f>
        <v/>
      </c>
      <c r="AO6" s="17">
        <f>COUNTIF($I6:$T6,"×")</f>
        <v/>
      </c>
      <c r="AP6" s="17">
        <f>COUNTIF($I6,"×")+COUNTIF($J6,"×")+COUNTIF($L6,"×")+COUNTIF($O6,"×")</f>
        <v/>
      </c>
    </row>
    <row r="7">
      <c r="A7" s="23" t="n"/>
      <c r="B7" s="23" t="n"/>
      <c r="C7" s="20" t="n"/>
      <c r="D7" s="23" t="n"/>
      <c r="E7" s="24" t="n"/>
      <c r="F7" s="24" t="n"/>
      <c r="G7" s="15">
        <f>IF(OR($E7="",$F7="",$AG7="",$AH7="",$F7&lt;=0),"",($E7-($AG7-$AH7))/$F7)</f>
        <v/>
      </c>
      <c r="H7" s="24" t="n"/>
      <c r="I7" s="25" t="n"/>
      <c r="J7" s="25" t="n"/>
      <c r="K7" s="25" t="n"/>
      <c r="L7" s="25" t="n"/>
      <c r="M7" s="25" t="n"/>
      <c r="N7" s="25" t="n"/>
      <c r="O7" s="25" t="n"/>
      <c r="P7" s="25" t="n"/>
      <c r="Q7" s="25" t="n"/>
      <c r="R7" s="25" t="n"/>
      <c r="S7" s="25" t="n"/>
      <c r="T7" s="25" t="n"/>
      <c r="U7" s="17">
        <f>IF($AN7=0,"",IF($AP7&gt;0,"C：見送り（Must×）",IF($AO7&gt;=2,"C：見送り（×2件以上）",IF($AN7&lt;6,"B：追加情報を取得",IF(AND($AO7=0,$AM7/($AN7*2)&gt;=0.75),"A：進める","B：追加情報を取得")))))</f>
        <v/>
      </c>
      <c r="V7" s="18">
        <f>IF($AN7=0,"",$AM7/($AN7*2))</f>
        <v/>
      </c>
      <c r="W7" s="23" t="n"/>
      <c r="X7" s="20" t="n"/>
      <c r="Y7" s="22" t="n"/>
      <c r="Z7" s="22" t="n"/>
      <c r="AA7" s="20" t="n"/>
      <c r="AB7" s="20" t="n"/>
      <c r="AC7" s="22" t="n"/>
      <c r="AD7" s="23" t="n"/>
      <c r="AE7" s="23" t="n"/>
      <c r="AF7" s="23" t="n"/>
      <c r="AG7" s="24" t="n"/>
      <c r="AH7" s="24" t="n"/>
      <c r="AI7" s="17">
        <f>IF($H7="","",IF($H7&lt;300,"下限未満（対象外）",IF($H7&gt;3000,"上限超（対象外）","範囲内")))</f>
        <v/>
      </c>
      <c r="AJ7" s="15">
        <f>IF(OR($E7="",$F7="",$AG7="",$F7&lt;=0),"",($E7-$AG7)/$F7)</f>
        <v/>
      </c>
      <c r="AK7" s="23" t="n"/>
      <c r="AL7" s="20" t="n"/>
      <c r="AM7" s="21">
        <f>COUNTIF($I7:$T7,"◯")*2+COUNTIF($I7:$T7,"△〜◯")*1.5+COUNTIF($I7:$T7,"△")*1+COUNTIF($I7:$T7,"×〜△")*0.5</f>
        <v/>
      </c>
      <c r="AN7" s="17">
        <f>COUNTIF($I7:$T7,"◯")+COUNTIF($I7:$T7,"△〜◯")+COUNTIF($I7:$T7,"△")+COUNTIF($I7:$T7,"×〜△")+COUNTIF($I7:$T7,"×")</f>
        <v/>
      </c>
      <c r="AO7" s="17">
        <f>COUNTIF($I7:$T7,"×")</f>
        <v/>
      </c>
      <c r="AP7" s="17">
        <f>COUNTIF($I7,"×")+COUNTIF($J7,"×")+COUNTIF($L7,"×")+COUNTIF($O7,"×")</f>
        <v/>
      </c>
    </row>
    <row r="8">
      <c r="A8" s="23" t="n"/>
      <c r="B8" s="23" t="n"/>
      <c r="C8" s="20" t="n"/>
      <c r="D8" s="23" t="n"/>
      <c r="E8" s="24" t="n"/>
      <c r="F8" s="24" t="n"/>
      <c r="G8" s="15">
        <f>IF(OR($E8="",$F8="",$AG8="",$AH8="",$F8&lt;=0),"",($E8-($AG8-$AH8))/$F8)</f>
        <v/>
      </c>
      <c r="H8" s="24" t="n"/>
      <c r="I8" s="25" t="n"/>
      <c r="J8" s="25" t="n"/>
      <c r="K8" s="25" t="n"/>
      <c r="L8" s="25" t="n"/>
      <c r="M8" s="25" t="n"/>
      <c r="N8" s="25" t="n"/>
      <c r="O8" s="25" t="n"/>
      <c r="P8" s="25" t="n"/>
      <c r="Q8" s="25" t="n"/>
      <c r="R8" s="25" t="n"/>
      <c r="S8" s="25" t="n"/>
      <c r="T8" s="25" t="n"/>
      <c r="U8" s="17">
        <f>IF($AN8=0,"",IF($AP8&gt;0,"C：見送り（Must×）",IF($AO8&gt;=2,"C：見送り（×2件以上）",IF($AN8&lt;6,"B：追加情報を取得",IF(AND($AO8=0,$AM8/($AN8*2)&gt;=0.75),"A：進める","B：追加情報を取得")))))</f>
        <v/>
      </c>
      <c r="V8" s="18">
        <f>IF($AN8=0,"",$AM8/($AN8*2))</f>
        <v/>
      </c>
      <c r="W8" s="23" t="n"/>
      <c r="X8" s="20" t="n"/>
      <c r="Y8" s="22" t="n"/>
      <c r="Z8" s="22" t="n"/>
      <c r="AA8" s="20" t="n"/>
      <c r="AB8" s="20" t="n"/>
      <c r="AC8" s="22" t="n"/>
      <c r="AD8" s="23" t="n"/>
      <c r="AE8" s="23" t="n"/>
      <c r="AF8" s="23" t="n"/>
      <c r="AG8" s="24" t="n"/>
      <c r="AH8" s="24" t="n"/>
      <c r="AI8" s="17">
        <f>IF($H8="","",IF($H8&lt;300,"下限未満（対象外）",IF($H8&gt;3000,"上限超（対象外）","範囲内")))</f>
        <v/>
      </c>
      <c r="AJ8" s="15">
        <f>IF(OR($E8="",$F8="",$AG8="",$F8&lt;=0),"",($E8-$AG8)/$F8)</f>
        <v/>
      </c>
      <c r="AK8" s="23" t="n"/>
      <c r="AL8" s="20" t="n"/>
      <c r="AM8" s="21">
        <f>COUNTIF($I8:$T8,"◯")*2+COUNTIF($I8:$T8,"△〜◯")*1.5+COUNTIF($I8:$T8,"△")*1+COUNTIF($I8:$T8,"×〜△")*0.5</f>
        <v/>
      </c>
      <c r="AN8" s="17">
        <f>COUNTIF($I8:$T8,"◯")+COUNTIF($I8:$T8,"△〜◯")+COUNTIF($I8:$T8,"△")+COUNTIF($I8:$T8,"×〜△")+COUNTIF($I8:$T8,"×")</f>
        <v/>
      </c>
      <c r="AO8" s="17">
        <f>COUNTIF($I8:$T8,"×")</f>
        <v/>
      </c>
      <c r="AP8" s="17">
        <f>COUNTIF($I8,"×")+COUNTIF($J8,"×")+COUNTIF($L8,"×")+COUNTIF($O8,"×")</f>
        <v/>
      </c>
    </row>
    <row r="9">
      <c r="A9" s="23" t="n"/>
      <c r="B9" s="23" t="n"/>
      <c r="C9" s="20" t="n"/>
      <c r="D9" s="23" t="n"/>
      <c r="E9" s="24" t="n"/>
      <c r="F9" s="24" t="n"/>
      <c r="G9" s="15">
        <f>IF(OR($E9="",$F9="",$AG9="",$AH9="",$F9&lt;=0),"",($E9-($AG9-$AH9))/$F9)</f>
        <v/>
      </c>
      <c r="H9" s="24" t="n"/>
      <c r="I9" s="25" t="n"/>
      <c r="J9" s="25" t="n"/>
      <c r="K9" s="25" t="n"/>
      <c r="L9" s="25" t="n"/>
      <c r="M9" s="25" t="n"/>
      <c r="N9" s="25" t="n"/>
      <c r="O9" s="25" t="n"/>
      <c r="P9" s="25" t="n"/>
      <c r="Q9" s="25" t="n"/>
      <c r="R9" s="25" t="n"/>
      <c r="S9" s="25" t="n"/>
      <c r="T9" s="25" t="n"/>
      <c r="U9" s="17">
        <f>IF($AN9=0,"",IF($AP9&gt;0,"C：見送り（Must×）",IF($AO9&gt;=2,"C：見送り（×2件以上）",IF($AN9&lt;6,"B：追加情報を取得",IF(AND($AO9=0,$AM9/($AN9*2)&gt;=0.75),"A：進める","B：追加情報を取得")))))</f>
        <v/>
      </c>
      <c r="V9" s="18">
        <f>IF($AN9=0,"",$AM9/($AN9*2))</f>
        <v/>
      </c>
      <c r="W9" s="23" t="n"/>
      <c r="X9" s="20" t="n"/>
      <c r="Y9" s="22" t="n"/>
      <c r="Z9" s="22" t="n"/>
      <c r="AA9" s="20" t="n"/>
      <c r="AB9" s="20" t="n"/>
      <c r="AC9" s="22" t="n"/>
      <c r="AD9" s="23" t="n"/>
      <c r="AE9" s="23" t="n"/>
      <c r="AF9" s="23" t="n"/>
      <c r="AG9" s="24" t="n"/>
      <c r="AH9" s="24" t="n"/>
      <c r="AI9" s="17">
        <f>IF($H9="","",IF($H9&lt;300,"下限未満（対象外）",IF($H9&gt;3000,"上限超（対象外）","範囲内")))</f>
        <v/>
      </c>
      <c r="AJ9" s="15">
        <f>IF(OR($E9="",$F9="",$AG9="",$F9&lt;=0),"",($E9-$AG9)/$F9)</f>
        <v/>
      </c>
      <c r="AK9" s="23" t="n"/>
      <c r="AL9" s="20" t="n"/>
      <c r="AM9" s="21">
        <f>COUNTIF($I9:$T9,"◯")*2+COUNTIF($I9:$T9,"△〜◯")*1.5+COUNTIF($I9:$T9,"△")*1+COUNTIF($I9:$T9,"×〜△")*0.5</f>
        <v/>
      </c>
      <c r="AN9" s="17">
        <f>COUNTIF($I9:$T9,"◯")+COUNTIF($I9:$T9,"△〜◯")+COUNTIF($I9:$T9,"△")+COUNTIF($I9:$T9,"×〜△")+COUNTIF($I9:$T9,"×")</f>
        <v/>
      </c>
      <c r="AO9" s="17">
        <f>COUNTIF($I9:$T9,"×")</f>
        <v/>
      </c>
      <c r="AP9" s="17">
        <f>COUNTIF($I9,"×")+COUNTIF($J9,"×")+COUNTIF($L9,"×")+COUNTIF($O9,"×")</f>
        <v/>
      </c>
    </row>
    <row r="10">
      <c r="A10" s="23" t="n"/>
      <c r="B10" s="23" t="n"/>
      <c r="C10" s="20" t="n"/>
      <c r="D10" s="23" t="n"/>
      <c r="E10" s="24" t="n"/>
      <c r="F10" s="24" t="n"/>
      <c r="G10" s="15">
        <f>IF(OR($E10="",$F10="",$AG10="",$AH10="",$F10&lt;=0),"",($E10-($AG10-$AH10))/$F10)</f>
        <v/>
      </c>
      <c r="H10" s="24" t="n"/>
      <c r="I10" s="25" t="n"/>
      <c r="J10" s="25" t="n"/>
      <c r="K10" s="25" t="n"/>
      <c r="L10" s="25" t="n"/>
      <c r="M10" s="25" t="n"/>
      <c r="N10" s="25" t="n"/>
      <c r="O10" s="25" t="n"/>
      <c r="P10" s="25" t="n"/>
      <c r="Q10" s="25" t="n"/>
      <c r="R10" s="25" t="n"/>
      <c r="S10" s="25" t="n"/>
      <c r="T10" s="25" t="n"/>
      <c r="U10" s="17">
        <f>IF($AN10=0,"",IF($AP10&gt;0,"C：見送り（Must×）",IF($AO10&gt;=2,"C：見送り（×2件以上）",IF($AN10&lt;6,"B：追加情報を取得",IF(AND($AO10=0,$AM10/($AN10*2)&gt;=0.75),"A：進める","B：追加情報を取得")))))</f>
        <v/>
      </c>
      <c r="V10" s="18">
        <f>IF($AN10=0,"",$AM10/($AN10*2))</f>
        <v/>
      </c>
      <c r="W10" s="23" t="n"/>
      <c r="X10" s="20" t="n"/>
      <c r="Y10" s="22" t="n"/>
      <c r="Z10" s="22" t="n"/>
      <c r="AA10" s="20" t="n"/>
      <c r="AB10" s="20" t="n"/>
      <c r="AC10" s="22" t="n"/>
      <c r="AD10" s="23" t="n"/>
      <c r="AE10" s="23" t="n"/>
      <c r="AF10" s="23" t="n"/>
      <c r="AG10" s="24" t="n"/>
      <c r="AH10" s="24" t="n"/>
      <c r="AI10" s="17">
        <f>IF($H10="","",IF($H10&lt;300,"下限未満（対象外）",IF($H10&gt;3000,"上限超（対象外）","範囲内")))</f>
        <v/>
      </c>
      <c r="AJ10" s="15">
        <f>IF(OR($E10="",$F10="",$AG10="",$F10&lt;=0),"",($E10-$AG10)/$F10)</f>
        <v/>
      </c>
      <c r="AK10" s="23" t="n"/>
      <c r="AL10" s="20" t="n"/>
      <c r="AM10" s="21">
        <f>COUNTIF($I10:$T10,"◯")*2+COUNTIF($I10:$T10,"△〜◯")*1.5+COUNTIF($I10:$T10,"△")*1+COUNTIF($I10:$T10,"×〜△")*0.5</f>
        <v/>
      </c>
      <c r="AN10" s="17">
        <f>COUNTIF($I10:$T10,"◯")+COUNTIF($I10:$T10,"△〜◯")+COUNTIF($I10:$T10,"△")+COUNTIF($I10:$T10,"×〜△")+COUNTIF($I10:$T10,"×")</f>
        <v/>
      </c>
      <c r="AO10" s="17">
        <f>COUNTIF($I10:$T10,"×")</f>
        <v/>
      </c>
      <c r="AP10" s="17">
        <f>COUNTIF($I10,"×")+COUNTIF($J10,"×")+COUNTIF($L10,"×")+COUNTIF($O10,"×")</f>
        <v/>
      </c>
    </row>
    <row r="11">
      <c r="A11" s="23" t="n"/>
      <c r="B11" s="23" t="n"/>
      <c r="C11" s="20" t="n"/>
      <c r="D11" s="23" t="n"/>
      <c r="E11" s="24" t="n"/>
      <c r="F11" s="24" t="n"/>
      <c r="G11" s="15">
        <f>IF(OR($E11="",$F11="",$AG11="",$AH11="",$F11&lt;=0),"",($E11-($AG11-$AH11))/$F11)</f>
        <v/>
      </c>
      <c r="H11" s="24" t="n"/>
      <c r="I11" s="25" t="n"/>
      <c r="J11" s="25" t="n"/>
      <c r="K11" s="25" t="n"/>
      <c r="L11" s="25" t="n"/>
      <c r="M11" s="25" t="n"/>
      <c r="N11" s="25" t="n"/>
      <c r="O11" s="25" t="n"/>
      <c r="P11" s="25" t="n"/>
      <c r="Q11" s="25" t="n"/>
      <c r="R11" s="25" t="n"/>
      <c r="S11" s="25" t="n"/>
      <c r="T11" s="25" t="n"/>
      <c r="U11" s="17">
        <f>IF($AN11=0,"",IF($AP11&gt;0,"C：見送り（Must×）",IF($AO11&gt;=2,"C：見送り（×2件以上）",IF($AN11&lt;6,"B：追加情報を取得",IF(AND($AO11=0,$AM11/($AN11*2)&gt;=0.75),"A：進める","B：追加情報を取得")))))</f>
        <v/>
      </c>
      <c r="V11" s="18">
        <f>IF($AN11=0,"",$AM11/($AN11*2))</f>
        <v/>
      </c>
      <c r="W11" s="23" t="n"/>
      <c r="X11" s="20" t="n"/>
      <c r="Y11" s="22" t="n"/>
      <c r="Z11" s="22" t="n"/>
      <c r="AA11" s="20" t="n"/>
      <c r="AB11" s="20" t="n"/>
      <c r="AC11" s="22" t="n"/>
      <c r="AD11" s="23" t="n"/>
      <c r="AE11" s="23" t="n"/>
      <c r="AF11" s="23" t="n"/>
      <c r="AG11" s="24" t="n"/>
      <c r="AH11" s="24" t="n"/>
      <c r="AI11" s="17">
        <f>IF($H11="","",IF($H11&lt;300,"下限未満（対象外）",IF($H11&gt;3000,"上限超（対象外）","範囲内")))</f>
        <v/>
      </c>
      <c r="AJ11" s="15">
        <f>IF(OR($E11="",$F11="",$AG11="",$F11&lt;=0),"",($E11-$AG11)/$F11)</f>
        <v/>
      </c>
      <c r="AK11" s="23" t="n"/>
      <c r="AL11" s="20" t="n"/>
      <c r="AM11" s="21">
        <f>COUNTIF($I11:$T11,"◯")*2+COUNTIF($I11:$T11,"△〜◯")*1.5+COUNTIF($I11:$T11,"△")*1+COUNTIF($I11:$T11,"×〜△")*0.5</f>
        <v/>
      </c>
      <c r="AN11" s="17">
        <f>COUNTIF($I11:$T11,"◯")+COUNTIF($I11:$T11,"△〜◯")+COUNTIF($I11:$T11,"△")+COUNTIF($I11:$T11,"×〜△")+COUNTIF($I11:$T11,"×")</f>
        <v/>
      </c>
      <c r="AO11" s="17">
        <f>COUNTIF($I11:$T11,"×")</f>
        <v/>
      </c>
      <c r="AP11" s="17">
        <f>COUNTIF($I11,"×")+COUNTIF($J11,"×")+COUNTIF($L11,"×")+COUNTIF($O11,"×")</f>
        <v/>
      </c>
    </row>
    <row r="12">
      <c r="A12" s="23" t="n"/>
      <c r="B12" s="23" t="n"/>
      <c r="C12" s="20" t="n"/>
      <c r="D12" s="23" t="n"/>
      <c r="E12" s="24" t="n"/>
      <c r="F12" s="24" t="n"/>
      <c r="G12" s="15">
        <f>IF(OR($E12="",$F12="",$AG12="",$AH12="",$F12&lt;=0),"",($E12-($AG12-$AH12))/$F12)</f>
        <v/>
      </c>
      <c r="H12" s="24" t="n"/>
      <c r="I12" s="25" t="n"/>
      <c r="J12" s="25" t="n"/>
      <c r="K12" s="25" t="n"/>
      <c r="L12" s="25" t="n"/>
      <c r="M12" s="25" t="n"/>
      <c r="N12" s="25" t="n"/>
      <c r="O12" s="25" t="n"/>
      <c r="P12" s="25" t="n"/>
      <c r="Q12" s="25" t="n"/>
      <c r="R12" s="25" t="n"/>
      <c r="S12" s="25" t="n"/>
      <c r="T12" s="25" t="n"/>
      <c r="U12" s="17">
        <f>IF($AN12=0,"",IF($AP12&gt;0,"C：見送り（Must×）",IF($AO12&gt;=2,"C：見送り（×2件以上）",IF($AN12&lt;6,"B：追加情報を取得",IF(AND($AO12=0,$AM12/($AN12*2)&gt;=0.75),"A：進める","B：追加情報を取得")))))</f>
        <v/>
      </c>
      <c r="V12" s="18">
        <f>IF($AN12=0,"",$AM12/($AN12*2))</f>
        <v/>
      </c>
      <c r="W12" s="23" t="n"/>
      <c r="X12" s="20" t="n"/>
      <c r="Y12" s="22" t="n"/>
      <c r="Z12" s="22" t="n"/>
      <c r="AA12" s="20" t="n"/>
      <c r="AB12" s="20" t="n"/>
      <c r="AC12" s="22" t="n"/>
      <c r="AD12" s="23" t="n"/>
      <c r="AE12" s="23" t="n"/>
      <c r="AF12" s="23" t="n"/>
      <c r="AG12" s="24" t="n"/>
      <c r="AH12" s="24" t="n"/>
      <c r="AI12" s="17">
        <f>IF($H12="","",IF($H12&lt;300,"下限未満（対象外）",IF($H12&gt;3000,"上限超（対象外）","範囲内")))</f>
        <v/>
      </c>
      <c r="AJ12" s="15">
        <f>IF(OR($E12="",$F12="",$AG12="",$F12&lt;=0),"",($E12-$AG12)/$F12)</f>
        <v/>
      </c>
      <c r="AK12" s="23" t="n"/>
      <c r="AL12" s="20" t="n"/>
      <c r="AM12" s="21">
        <f>COUNTIF($I12:$T12,"◯")*2+COUNTIF($I12:$T12,"△〜◯")*1.5+COUNTIF($I12:$T12,"△")*1+COUNTIF($I12:$T12,"×〜△")*0.5</f>
        <v/>
      </c>
      <c r="AN12" s="17">
        <f>COUNTIF($I12:$T12,"◯")+COUNTIF($I12:$T12,"△〜◯")+COUNTIF($I12:$T12,"△")+COUNTIF($I12:$T12,"×〜△")+COUNTIF($I12:$T12,"×")</f>
        <v/>
      </c>
      <c r="AO12" s="17">
        <f>COUNTIF($I12:$T12,"×")</f>
        <v/>
      </c>
      <c r="AP12" s="17">
        <f>COUNTIF($I12,"×")+COUNTIF($J12,"×")+COUNTIF($L12,"×")+COUNTIF($O12,"×")</f>
        <v/>
      </c>
    </row>
    <row r="13">
      <c r="A13" s="23" t="n"/>
      <c r="B13" s="23" t="n"/>
      <c r="C13" s="20" t="n"/>
      <c r="D13" s="23" t="n"/>
      <c r="E13" s="24" t="n"/>
      <c r="F13" s="24" t="n"/>
      <c r="G13" s="15">
        <f>IF(OR($E13="",$F13="",$AG13="",$AH13="",$F13&lt;=0),"",($E13-($AG13-$AH13))/$F13)</f>
        <v/>
      </c>
      <c r="H13" s="24" t="n"/>
      <c r="I13" s="25" t="n"/>
      <c r="J13" s="25" t="n"/>
      <c r="K13" s="25" t="n"/>
      <c r="L13" s="25" t="n"/>
      <c r="M13" s="25" t="n"/>
      <c r="N13" s="25" t="n"/>
      <c r="O13" s="25" t="n"/>
      <c r="P13" s="25" t="n"/>
      <c r="Q13" s="25" t="n"/>
      <c r="R13" s="25" t="n"/>
      <c r="S13" s="25" t="n"/>
      <c r="T13" s="25" t="n"/>
      <c r="U13" s="17">
        <f>IF($AN13=0,"",IF($AP13&gt;0,"C：見送り（Must×）",IF($AO13&gt;=2,"C：見送り（×2件以上）",IF($AN13&lt;6,"B：追加情報を取得",IF(AND($AO13=0,$AM13/($AN13*2)&gt;=0.75),"A：進める","B：追加情報を取得")))))</f>
        <v/>
      </c>
      <c r="V13" s="18">
        <f>IF($AN13=0,"",$AM13/($AN13*2))</f>
        <v/>
      </c>
      <c r="W13" s="23" t="n"/>
      <c r="X13" s="20" t="n"/>
      <c r="Y13" s="22" t="n"/>
      <c r="Z13" s="22" t="n"/>
      <c r="AA13" s="20" t="n"/>
      <c r="AB13" s="20" t="n"/>
      <c r="AC13" s="22" t="n"/>
      <c r="AD13" s="23" t="n"/>
      <c r="AE13" s="23" t="n"/>
      <c r="AF13" s="23" t="n"/>
      <c r="AG13" s="24" t="n"/>
      <c r="AH13" s="24" t="n"/>
      <c r="AI13" s="17">
        <f>IF($H13="","",IF($H13&lt;300,"下限未満（対象外）",IF($H13&gt;3000,"上限超（対象外）","範囲内")))</f>
        <v/>
      </c>
      <c r="AJ13" s="15">
        <f>IF(OR($E13="",$F13="",$AG13="",$F13&lt;=0),"",($E13-$AG13)/$F13)</f>
        <v/>
      </c>
      <c r="AK13" s="23" t="n"/>
      <c r="AL13" s="20" t="n"/>
      <c r="AM13" s="21">
        <f>COUNTIF($I13:$T13,"◯")*2+COUNTIF($I13:$T13,"△〜◯")*1.5+COUNTIF($I13:$T13,"△")*1+COUNTIF($I13:$T13,"×〜△")*0.5</f>
        <v/>
      </c>
      <c r="AN13" s="17">
        <f>COUNTIF($I13:$T13,"◯")+COUNTIF($I13:$T13,"△〜◯")+COUNTIF($I13:$T13,"△")+COUNTIF($I13:$T13,"×〜△")+COUNTIF($I13:$T13,"×")</f>
        <v/>
      </c>
      <c r="AO13" s="17">
        <f>COUNTIF($I13:$T13,"×")</f>
        <v/>
      </c>
      <c r="AP13" s="17">
        <f>COUNTIF($I13,"×")+COUNTIF($J13,"×")+COUNTIF($L13,"×")+COUNTIF($O13,"×")</f>
        <v/>
      </c>
    </row>
    <row r="14">
      <c r="A14" s="23" t="n"/>
      <c r="B14" s="23" t="n"/>
      <c r="C14" s="20" t="n"/>
      <c r="D14" s="23" t="n"/>
      <c r="E14" s="24" t="n"/>
      <c r="F14" s="24" t="n"/>
      <c r="G14" s="15">
        <f>IF(OR($E14="",$F14="",$AG14="",$AH14="",$F14&lt;=0),"",($E14-($AG14-$AH14))/$F14)</f>
        <v/>
      </c>
      <c r="H14" s="24" t="n"/>
      <c r="I14" s="25" t="n"/>
      <c r="J14" s="25" t="n"/>
      <c r="K14" s="25" t="n"/>
      <c r="L14" s="25" t="n"/>
      <c r="M14" s="25" t="n"/>
      <c r="N14" s="25" t="n"/>
      <c r="O14" s="25" t="n"/>
      <c r="P14" s="25" t="n"/>
      <c r="Q14" s="25" t="n"/>
      <c r="R14" s="25" t="n"/>
      <c r="S14" s="25" t="n"/>
      <c r="T14" s="25" t="n"/>
      <c r="U14" s="17">
        <f>IF($AN14=0,"",IF($AP14&gt;0,"C：見送り（Must×）",IF($AO14&gt;=2,"C：見送り（×2件以上）",IF($AN14&lt;6,"B：追加情報を取得",IF(AND($AO14=0,$AM14/($AN14*2)&gt;=0.75),"A：進める","B：追加情報を取得")))))</f>
        <v/>
      </c>
      <c r="V14" s="18">
        <f>IF($AN14=0,"",$AM14/($AN14*2))</f>
        <v/>
      </c>
      <c r="W14" s="23" t="n"/>
      <c r="X14" s="20" t="n"/>
      <c r="Y14" s="22" t="n"/>
      <c r="Z14" s="22" t="n"/>
      <c r="AA14" s="20" t="n"/>
      <c r="AB14" s="20" t="n"/>
      <c r="AC14" s="22" t="n"/>
      <c r="AD14" s="23" t="n"/>
      <c r="AE14" s="23" t="n"/>
      <c r="AF14" s="23" t="n"/>
      <c r="AG14" s="24" t="n"/>
      <c r="AH14" s="24" t="n"/>
      <c r="AI14" s="17">
        <f>IF($H14="","",IF($H14&lt;300,"下限未満（対象外）",IF($H14&gt;3000,"上限超（対象外）","範囲内")))</f>
        <v/>
      </c>
      <c r="AJ14" s="15">
        <f>IF(OR($E14="",$F14="",$AG14="",$F14&lt;=0),"",($E14-$AG14)/$F14)</f>
        <v/>
      </c>
      <c r="AK14" s="23" t="n"/>
      <c r="AL14" s="20" t="n"/>
      <c r="AM14" s="21">
        <f>COUNTIF($I14:$T14,"◯")*2+COUNTIF($I14:$T14,"△〜◯")*1.5+COUNTIF($I14:$T14,"△")*1+COUNTIF($I14:$T14,"×〜△")*0.5</f>
        <v/>
      </c>
      <c r="AN14" s="17">
        <f>COUNTIF($I14:$T14,"◯")+COUNTIF($I14:$T14,"△〜◯")+COUNTIF($I14:$T14,"△")+COUNTIF($I14:$T14,"×〜△")+COUNTIF($I14:$T14,"×")</f>
        <v/>
      </c>
      <c r="AO14" s="17">
        <f>COUNTIF($I14:$T14,"×")</f>
        <v/>
      </c>
      <c r="AP14" s="17">
        <f>COUNTIF($I14,"×")+COUNTIF($J14,"×")+COUNTIF($L14,"×")+COUNTIF($O14,"×")</f>
        <v/>
      </c>
    </row>
    <row r="15">
      <c r="A15" s="23" t="n"/>
      <c r="B15" s="23" t="n"/>
      <c r="C15" s="20" t="n"/>
      <c r="D15" s="23" t="n"/>
      <c r="E15" s="24" t="n"/>
      <c r="F15" s="24" t="n"/>
      <c r="G15" s="15">
        <f>IF(OR($E15="",$F15="",$AG15="",$AH15="",$F15&lt;=0),"",($E15-($AG15-$AH15))/$F15)</f>
        <v/>
      </c>
      <c r="H15" s="24" t="n"/>
      <c r="I15" s="25" t="n"/>
      <c r="J15" s="25" t="n"/>
      <c r="K15" s="25" t="n"/>
      <c r="L15" s="25" t="n"/>
      <c r="M15" s="25" t="n"/>
      <c r="N15" s="25" t="n"/>
      <c r="O15" s="25" t="n"/>
      <c r="P15" s="25" t="n"/>
      <c r="Q15" s="25" t="n"/>
      <c r="R15" s="25" t="n"/>
      <c r="S15" s="25" t="n"/>
      <c r="T15" s="25" t="n"/>
      <c r="U15" s="17">
        <f>IF($AN15=0,"",IF($AP15&gt;0,"C：見送り（Must×）",IF($AO15&gt;=2,"C：見送り（×2件以上）",IF($AN15&lt;6,"B：追加情報を取得",IF(AND($AO15=0,$AM15/($AN15*2)&gt;=0.75),"A：進める","B：追加情報を取得")))))</f>
        <v/>
      </c>
      <c r="V15" s="18">
        <f>IF($AN15=0,"",$AM15/($AN15*2))</f>
        <v/>
      </c>
      <c r="W15" s="23" t="n"/>
      <c r="X15" s="20" t="n"/>
      <c r="Y15" s="22" t="n"/>
      <c r="Z15" s="22" t="n"/>
      <c r="AA15" s="20" t="n"/>
      <c r="AB15" s="20" t="n"/>
      <c r="AC15" s="22" t="n"/>
      <c r="AD15" s="23" t="n"/>
      <c r="AE15" s="23" t="n"/>
      <c r="AF15" s="23" t="n"/>
      <c r="AG15" s="24" t="n"/>
      <c r="AH15" s="24" t="n"/>
      <c r="AI15" s="17">
        <f>IF($H15="","",IF($H15&lt;300,"下限未満（対象外）",IF($H15&gt;3000,"上限超（対象外）","範囲内")))</f>
        <v/>
      </c>
      <c r="AJ15" s="15">
        <f>IF(OR($E15="",$F15="",$AG15="",$F15&lt;=0),"",($E15-$AG15)/$F15)</f>
        <v/>
      </c>
      <c r="AK15" s="23" t="n"/>
      <c r="AL15" s="20" t="n"/>
      <c r="AM15" s="21">
        <f>COUNTIF($I15:$T15,"◯")*2+COUNTIF($I15:$T15,"△〜◯")*1.5+COUNTIF($I15:$T15,"△")*1+COUNTIF($I15:$T15,"×〜△")*0.5</f>
        <v/>
      </c>
      <c r="AN15" s="17">
        <f>COUNTIF($I15:$T15,"◯")+COUNTIF($I15:$T15,"△〜◯")+COUNTIF($I15:$T15,"△")+COUNTIF($I15:$T15,"×〜△")+COUNTIF($I15:$T15,"×")</f>
        <v/>
      </c>
      <c r="AO15" s="17">
        <f>COUNTIF($I15:$T15,"×")</f>
        <v/>
      </c>
      <c r="AP15" s="17">
        <f>COUNTIF($I15,"×")+COUNTIF($J15,"×")+COUNTIF($L15,"×")+COUNTIF($O15,"×")</f>
        <v/>
      </c>
    </row>
    <row r="16">
      <c r="A16" s="23" t="n"/>
      <c r="B16" s="23" t="n"/>
      <c r="C16" s="20" t="n"/>
      <c r="D16" s="23" t="n"/>
      <c r="E16" s="24" t="n"/>
      <c r="F16" s="24" t="n"/>
      <c r="G16" s="15">
        <f>IF(OR($E16="",$F16="",$AG16="",$AH16="",$F16&lt;=0),"",($E16-($AG16-$AH16))/$F16)</f>
        <v/>
      </c>
      <c r="H16" s="24" t="n"/>
      <c r="I16" s="25" t="n"/>
      <c r="J16" s="25" t="n"/>
      <c r="K16" s="25" t="n"/>
      <c r="L16" s="25" t="n"/>
      <c r="M16" s="25" t="n"/>
      <c r="N16" s="25" t="n"/>
      <c r="O16" s="25" t="n"/>
      <c r="P16" s="25" t="n"/>
      <c r="Q16" s="25" t="n"/>
      <c r="R16" s="25" t="n"/>
      <c r="S16" s="25" t="n"/>
      <c r="T16" s="25" t="n"/>
      <c r="U16" s="17">
        <f>IF($AN16=0,"",IF($AP16&gt;0,"C：見送り（Must×）",IF($AO16&gt;=2,"C：見送り（×2件以上）",IF($AN16&lt;6,"B：追加情報を取得",IF(AND($AO16=0,$AM16/($AN16*2)&gt;=0.75),"A：進める","B：追加情報を取得")))))</f>
        <v/>
      </c>
      <c r="V16" s="18">
        <f>IF($AN16=0,"",$AM16/($AN16*2))</f>
        <v/>
      </c>
      <c r="W16" s="23" t="n"/>
      <c r="X16" s="20" t="n"/>
      <c r="Y16" s="22" t="n"/>
      <c r="Z16" s="22" t="n"/>
      <c r="AA16" s="20" t="n"/>
      <c r="AB16" s="20" t="n"/>
      <c r="AC16" s="22" t="n"/>
      <c r="AD16" s="23" t="n"/>
      <c r="AE16" s="23" t="n"/>
      <c r="AF16" s="23" t="n"/>
      <c r="AG16" s="24" t="n"/>
      <c r="AH16" s="24" t="n"/>
      <c r="AI16" s="17">
        <f>IF($H16="","",IF($H16&lt;300,"下限未満（対象外）",IF($H16&gt;3000,"上限超（対象外）","範囲内")))</f>
        <v/>
      </c>
      <c r="AJ16" s="15">
        <f>IF(OR($E16="",$F16="",$AG16="",$F16&lt;=0),"",($E16-$AG16)/$F16)</f>
        <v/>
      </c>
      <c r="AK16" s="23" t="n"/>
      <c r="AL16" s="20" t="n"/>
      <c r="AM16" s="21">
        <f>COUNTIF($I16:$T16,"◯")*2+COUNTIF($I16:$T16,"△〜◯")*1.5+COUNTIF($I16:$T16,"△")*1+COUNTIF($I16:$T16,"×〜△")*0.5</f>
        <v/>
      </c>
      <c r="AN16" s="17">
        <f>COUNTIF($I16:$T16,"◯")+COUNTIF($I16:$T16,"△〜◯")+COUNTIF($I16:$T16,"△")+COUNTIF($I16:$T16,"×〜△")+COUNTIF($I16:$T16,"×")</f>
        <v/>
      </c>
      <c r="AO16" s="17">
        <f>COUNTIF($I16:$T16,"×")</f>
        <v/>
      </c>
      <c r="AP16" s="17">
        <f>COUNTIF($I16,"×")+COUNTIF($J16,"×")+COUNTIF($L16,"×")+COUNTIF($O16,"×")</f>
        <v/>
      </c>
    </row>
    <row r="17">
      <c r="A17" s="23" t="n"/>
      <c r="B17" s="23" t="n"/>
      <c r="C17" s="20" t="n"/>
      <c r="D17" s="23" t="n"/>
      <c r="E17" s="24" t="n"/>
      <c r="F17" s="24" t="n"/>
      <c r="G17" s="15">
        <f>IF(OR($E17="",$F17="",$AG17="",$AH17="",$F17&lt;=0),"",($E17-($AG17-$AH17))/$F17)</f>
        <v/>
      </c>
      <c r="H17" s="24" t="n"/>
      <c r="I17" s="25" t="n"/>
      <c r="J17" s="25" t="n"/>
      <c r="K17" s="25" t="n"/>
      <c r="L17" s="25" t="n"/>
      <c r="M17" s="25" t="n"/>
      <c r="N17" s="25" t="n"/>
      <c r="O17" s="25" t="n"/>
      <c r="P17" s="25" t="n"/>
      <c r="Q17" s="25" t="n"/>
      <c r="R17" s="25" t="n"/>
      <c r="S17" s="25" t="n"/>
      <c r="T17" s="25" t="n"/>
      <c r="U17" s="17">
        <f>IF($AN17=0,"",IF($AP17&gt;0,"C：見送り（Must×）",IF($AO17&gt;=2,"C：見送り（×2件以上）",IF($AN17&lt;6,"B：追加情報を取得",IF(AND($AO17=0,$AM17/($AN17*2)&gt;=0.75),"A：進める","B：追加情報を取得")))))</f>
        <v/>
      </c>
      <c r="V17" s="18">
        <f>IF($AN17=0,"",$AM17/($AN17*2))</f>
        <v/>
      </c>
      <c r="W17" s="23" t="n"/>
      <c r="X17" s="20" t="n"/>
      <c r="Y17" s="22" t="n"/>
      <c r="Z17" s="22" t="n"/>
      <c r="AA17" s="20" t="n"/>
      <c r="AB17" s="20" t="n"/>
      <c r="AC17" s="22" t="n"/>
      <c r="AD17" s="23" t="n"/>
      <c r="AE17" s="23" t="n"/>
      <c r="AF17" s="23" t="n"/>
      <c r="AG17" s="24" t="n"/>
      <c r="AH17" s="24" t="n"/>
      <c r="AI17" s="17">
        <f>IF($H17="","",IF($H17&lt;300,"下限未満（対象外）",IF($H17&gt;3000,"上限超（対象外）","範囲内")))</f>
        <v/>
      </c>
      <c r="AJ17" s="15">
        <f>IF(OR($E17="",$F17="",$AG17="",$F17&lt;=0),"",($E17-$AG17)/$F17)</f>
        <v/>
      </c>
      <c r="AK17" s="23" t="n"/>
      <c r="AL17" s="20" t="n"/>
      <c r="AM17" s="21">
        <f>COUNTIF($I17:$T17,"◯")*2+COUNTIF($I17:$T17,"△〜◯")*1.5+COUNTIF($I17:$T17,"△")*1+COUNTIF($I17:$T17,"×〜△")*0.5</f>
        <v/>
      </c>
      <c r="AN17" s="17">
        <f>COUNTIF($I17:$T17,"◯")+COUNTIF($I17:$T17,"△〜◯")+COUNTIF($I17:$T17,"△")+COUNTIF($I17:$T17,"×〜△")+COUNTIF($I17:$T17,"×")</f>
        <v/>
      </c>
      <c r="AO17" s="17">
        <f>COUNTIF($I17:$T17,"×")</f>
        <v/>
      </c>
      <c r="AP17" s="17">
        <f>COUNTIF($I17,"×")+COUNTIF($J17,"×")+COUNTIF($L17,"×")+COUNTIF($O17,"×")</f>
        <v/>
      </c>
    </row>
    <row r="18">
      <c r="A18" s="23" t="n"/>
      <c r="B18" s="23" t="n"/>
      <c r="C18" s="20" t="n"/>
      <c r="D18" s="23" t="n"/>
      <c r="E18" s="24" t="n"/>
      <c r="F18" s="24" t="n"/>
      <c r="G18" s="15">
        <f>IF(OR($E18="",$F18="",$AG18="",$AH18="",$F18&lt;=0),"",($E18-($AG18-$AH18))/$F18)</f>
        <v/>
      </c>
      <c r="H18" s="24" t="n"/>
      <c r="I18" s="25" t="n"/>
      <c r="J18" s="25" t="n"/>
      <c r="K18" s="25" t="n"/>
      <c r="L18" s="25" t="n"/>
      <c r="M18" s="25" t="n"/>
      <c r="N18" s="25" t="n"/>
      <c r="O18" s="25" t="n"/>
      <c r="P18" s="25" t="n"/>
      <c r="Q18" s="25" t="n"/>
      <c r="R18" s="25" t="n"/>
      <c r="S18" s="25" t="n"/>
      <c r="T18" s="25" t="n"/>
      <c r="U18" s="17">
        <f>IF($AN18=0,"",IF($AP18&gt;0,"C：見送り（Must×）",IF($AO18&gt;=2,"C：見送り（×2件以上）",IF($AN18&lt;6,"B：追加情報を取得",IF(AND($AO18=0,$AM18/($AN18*2)&gt;=0.75),"A：進める","B：追加情報を取得")))))</f>
        <v/>
      </c>
      <c r="V18" s="18">
        <f>IF($AN18=0,"",$AM18/($AN18*2))</f>
        <v/>
      </c>
      <c r="W18" s="23" t="n"/>
      <c r="X18" s="20" t="n"/>
      <c r="Y18" s="22" t="n"/>
      <c r="Z18" s="22" t="n"/>
      <c r="AA18" s="20" t="n"/>
      <c r="AB18" s="20" t="n"/>
      <c r="AC18" s="22" t="n"/>
      <c r="AD18" s="23" t="n"/>
      <c r="AE18" s="23" t="n"/>
      <c r="AF18" s="23" t="n"/>
      <c r="AG18" s="24" t="n"/>
      <c r="AH18" s="24" t="n"/>
      <c r="AI18" s="17">
        <f>IF($H18="","",IF($H18&lt;300,"下限未満（対象外）",IF($H18&gt;3000,"上限超（対象外）","範囲内")))</f>
        <v/>
      </c>
      <c r="AJ18" s="15">
        <f>IF(OR($E18="",$F18="",$AG18="",$F18&lt;=0),"",($E18-$AG18)/$F18)</f>
        <v/>
      </c>
      <c r="AK18" s="23" t="n"/>
      <c r="AL18" s="20" t="n"/>
      <c r="AM18" s="21">
        <f>COUNTIF($I18:$T18,"◯")*2+COUNTIF($I18:$T18,"△〜◯")*1.5+COUNTIF($I18:$T18,"△")*1+COUNTIF($I18:$T18,"×〜△")*0.5</f>
        <v/>
      </c>
      <c r="AN18" s="17">
        <f>COUNTIF($I18:$T18,"◯")+COUNTIF($I18:$T18,"△〜◯")+COUNTIF($I18:$T18,"△")+COUNTIF($I18:$T18,"×〜△")+COUNTIF($I18:$T18,"×")</f>
        <v/>
      </c>
      <c r="AO18" s="17">
        <f>COUNTIF($I18:$T18,"×")</f>
        <v/>
      </c>
      <c r="AP18" s="17">
        <f>COUNTIF($I18,"×")+COUNTIF($J18,"×")+COUNTIF($L18,"×")+COUNTIF($O18,"×")</f>
        <v/>
      </c>
    </row>
    <row r="19">
      <c r="A19" s="23" t="n"/>
      <c r="B19" s="23" t="n"/>
      <c r="C19" s="20" t="n"/>
      <c r="D19" s="23" t="n"/>
      <c r="E19" s="24" t="n"/>
      <c r="F19" s="24" t="n"/>
      <c r="G19" s="15">
        <f>IF(OR($E19="",$F19="",$AG19="",$AH19="",$F19&lt;=0),"",($E19-($AG19-$AH19))/$F19)</f>
        <v/>
      </c>
      <c r="H19" s="24" t="n"/>
      <c r="I19" s="25" t="n"/>
      <c r="J19" s="25" t="n"/>
      <c r="K19" s="25" t="n"/>
      <c r="L19" s="25" t="n"/>
      <c r="M19" s="25" t="n"/>
      <c r="N19" s="25" t="n"/>
      <c r="O19" s="25" t="n"/>
      <c r="P19" s="25" t="n"/>
      <c r="Q19" s="25" t="n"/>
      <c r="R19" s="25" t="n"/>
      <c r="S19" s="25" t="n"/>
      <c r="T19" s="25" t="n"/>
      <c r="U19" s="17">
        <f>IF($AN19=0,"",IF($AP19&gt;0,"C：見送り（Must×）",IF($AO19&gt;=2,"C：見送り（×2件以上）",IF($AN19&lt;6,"B：追加情報を取得",IF(AND($AO19=0,$AM19/($AN19*2)&gt;=0.75),"A：進める","B：追加情報を取得")))))</f>
        <v/>
      </c>
      <c r="V19" s="18">
        <f>IF($AN19=0,"",$AM19/($AN19*2))</f>
        <v/>
      </c>
      <c r="W19" s="23" t="n"/>
      <c r="X19" s="20" t="n"/>
      <c r="Y19" s="22" t="n"/>
      <c r="Z19" s="22" t="n"/>
      <c r="AA19" s="20" t="n"/>
      <c r="AB19" s="20" t="n"/>
      <c r="AC19" s="22" t="n"/>
      <c r="AD19" s="23" t="n"/>
      <c r="AE19" s="23" t="n"/>
      <c r="AF19" s="23" t="n"/>
      <c r="AG19" s="24" t="n"/>
      <c r="AH19" s="24" t="n"/>
      <c r="AI19" s="17">
        <f>IF($H19="","",IF($H19&lt;300,"下限未満（対象外）",IF($H19&gt;3000,"上限超（対象外）","範囲内")))</f>
        <v/>
      </c>
      <c r="AJ19" s="15">
        <f>IF(OR($E19="",$F19="",$AG19="",$F19&lt;=0),"",($E19-$AG19)/$F19)</f>
        <v/>
      </c>
      <c r="AK19" s="23" t="n"/>
      <c r="AL19" s="20" t="n"/>
      <c r="AM19" s="21">
        <f>COUNTIF($I19:$T19,"◯")*2+COUNTIF($I19:$T19,"△〜◯")*1.5+COUNTIF($I19:$T19,"△")*1+COUNTIF($I19:$T19,"×〜△")*0.5</f>
        <v/>
      </c>
      <c r="AN19" s="17">
        <f>COUNTIF($I19:$T19,"◯")+COUNTIF($I19:$T19,"△〜◯")+COUNTIF($I19:$T19,"△")+COUNTIF($I19:$T19,"×〜△")+COUNTIF($I19:$T19,"×")</f>
        <v/>
      </c>
      <c r="AO19" s="17">
        <f>COUNTIF($I19:$T19,"×")</f>
        <v/>
      </c>
      <c r="AP19" s="17">
        <f>COUNTIF($I19,"×")+COUNTIF($J19,"×")+COUNTIF($L19,"×")+COUNTIF($O19,"×")</f>
        <v/>
      </c>
    </row>
    <row r="20">
      <c r="A20" s="23" t="n"/>
      <c r="B20" s="23" t="n"/>
      <c r="C20" s="20" t="n"/>
      <c r="D20" s="23" t="n"/>
      <c r="E20" s="24" t="n"/>
      <c r="F20" s="24" t="n"/>
      <c r="G20" s="15">
        <f>IF(OR($E20="",$F20="",$AG20="",$AH20="",$F20&lt;=0),"",($E20-($AG20-$AH20))/$F20)</f>
        <v/>
      </c>
      <c r="H20" s="24" t="n"/>
      <c r="I20" s="25" t="n"/>
      <c r="J20" s="25" t="n"/>
      <c r="K20" s="25" t="n"/>
      <c r="L20" s="25" t="n"/>
      <c r="M20" s="25" t="n"/>
      <c r="N20" s="25" t="n"/>
      <c r="O20" s="25" t="n"/>
      <c r="P20" s="25" t="n"/>
      <c r="Q20" s="25" t="n"/>
      <c r="R20" s="25" t="n"/>
      <c r="S20" s="25" t="n"/>
      <c r="T20" s="25" t="n"/>
      <c r="U20" s="17">
        <f>IF($AN20=0,"",IF($AP20&gt;0,"C：見送り（Must×）",IF($AO20&gt;=2,"C：見送り（×2件以上）",IF($AN20&lt;6,"B：追加情報を取得",IF(AND($AO20=0,$AM20/($AN20*2)&gt;=0.75),"A：進める","B：追加情報を取得")))))</f>
        <v/>
      </c>
      <c r="V20" s="18">
        <f>IF($AN20=0,"",$AM20/($AN20*2))</f>
        <v/>
      </c>
      <c r="W20" s="23" t="n"/>
      <c r="X20" s="20" t="n"/>
      <c r="Y20" s="22" t="n"/>
      <c r="Z20" s="22" t="n"/>
      <c r="AA20" s="20" t="n"/>
      <c r="AB20" s="20" t="n"/>
      <c r="AC20" s="22" t="n"/>
      <c r="AD20" s="23" t="n"/>
      <c r="AE20" s="23" t="n"/>
      <c r="AF20" s="23" t="n"/>
      <c r="AG20" s="24" t="n"/>
      <c r="AH20" s="24" t="n"/>
      <c r="AI20" s="17">
        <f>IF($H20="","",IF($H20&lt;300,"下限未満（対象外）",IF($H20&gt;3000,"上限超（対象外）","範囲内")))</f>
        <v/>
      </c>
      <c r="AJ20" s="15">
        <f>IF(OR($E20="",$F20="",$AG20="",$F20&lt;=0),"",($E20-$AG20)/$F20)</f>
        <v/>
      </c>
      <c r="AK20" s="23" t="n"/>
      <c r="AL20" s="20" t="n"/>
      <c r="AM20" s="21">
        <f>COUNTIF($I20:$T20,"◯")*2+COUNTIF($I20:$T20,"△〜◯")*1.5+COUNTIF($I20:$T20,"△")*1+COUNTIF($I20:$T20,"×〜△")*0.5</f>
        <v/>
      </c>
      <c r="AN20" s="17">
        <f>COUNTIF($I20:$T20,"◯")+COUNTIF($I20:$T20,"△〜◯")+COUNTIF($I20:$T20,"△")+COUNTIF($I20:$T20,"×〜△")+COUNTIF($I20:$T20,"×")</f>
        <v/>
      </c>
      <c r="AO20" s="17">
        <f>COUNTIF($I20:$T20,"×")</f>
        <v/>
      </c>
      <c r="AP20" s="17">
        <f>COUNTIF($I20,"×")+COUNTIF($J20,"×")+COUNTIF($L20,"×")+COUNTIF($O20,"×")</f>
        <v/>
      </c>
    </row>
    <row r="21">
      <c r="A21" s="23" t="n"/>
      <c r="B21" s="23" t="n"/>
      <c r="C21" s="20" t="n"/>
      <c r="D21" s="23" t="n"/>
      <c r="E21" s="24" t="n"/>
      <c r="F21" s="24" t="n"/>
      <c r="G21" s="15">
        <f>IF(OR($E21="",$F21="",$AG21="",$AH21="",$F21&lt;=0),"",($E21-($AG21-$AH21))/$F21)</f>
        <v/>
      </c>
      <c r="H21" s="24" t="n"/>
      <c r="I21" s="25" t="n"/>
      <c r="J21" s="25" t="n"/>
      <c r="K21" s="25" t="n"/>
      <c r="L21" s="25" t="n"/>
      <c r="M21" s="25" t="n"/>
      <c r="N21" s="25" t="n"/>
      <c r="O21" s="25" t="n"/>
      <c r="P21" s="25" t="n"/>
      <c r="Q21" s="25" t="n"/>
      <c r="R21" s="25" t="n"/>
      <c r="S21" s="25" t="n"/>
      <c r="T21" s="25" t="n"/>
      <c r="U21" s="17">
        <f>IF($AN21=0,"",IF($AP21&gt;0,"C：見送り（Must×）",IF($AO21&gt;=2,"C：見送り（×2件以上）",IF($AN21&lt;6,"B：追加情報を取得",IF(AND($AO21=0,$AM21/($AN21*2)&gt;=0.75),"A：進める","B：追加情報を取得")))))</f>
        <v/>
      </c>
      <c r="V21" s="18">
        <f>IF($AN21=0,"",$AM21/($AN21*2))</f>
        <v/>
      </c>
      <c r="W21" s="23" t="n"/>
      <c r="X21" s="20" t="n"/>
      <c r="Y21" s="22" t="n"/>
      <c r="Z21" s="22" t="n"/>
      <c r="AA21" s="20" t="n"/>
      <c r="AB21" s="20" t="n"/>
      <c r="AC21" s="22" t="n"/>
      <c r="AD21" s="23" t="n"/>
      <c r="AE21" s="23" t="n"/>
      <c r="AF21" s="23" t="n"/>
      <c r="AG21" s="24" t="n"/>
      <c r="AH21" s="24" t="n"/>
      <c r="AI21" s="17">
        <f>IF($H21="","",IF($H21&lt;300,"下限未満（対象外）",IF($H21&gt;3000,"上限超（対象外）","範囲内")))</f>
        <v/>
      </c>
      <c r="AJ21" s="15">
        <f>IF(OR($E21="",$F21="",$AG21="",$F21&lt;=0),"",($E21-$AG21)/$F21)</f>
        <v/>
      </c>
      <c r="AK21" s="23" t="n"/>
      <c r="AL21" s="20" t="n"/>
      <c r="AM21" s="21">
        <f>COUNTIF($I21:$T21,"◯")*2+COUNTIF($I21:$T21,"△〜◯")*1.5+COUNTIF($I21:$T21,"△")*1+COUNTIF($I21:$T21,"×〜△")*0.5</f>
        <v/>
      </c>
      <c r="AN21" s="17">
        <f>COUNTIF($I21:$T21,"◯")+COUNTIF($I21:$T21,"△〜◯")+COUNTIF($I21:$T21,"△")+COUNTIF($I21:$T21,"×〜△")+COUNTIF($I21:$T21,"×")</f>
        <v/>
      </c>
      <c r="AO21" s="17">
        <f>COUNTIF($I21:$T21,"×")</f>
        <v/>
      </c>
      <c r="AP21" s="17">
        <f>COUNTIF($I21,"×")+COUNTIF($J21,"×")+COUNTIF($L21,"×")+COUNTIF($O21,"×")</f>
        <v/>
      </c>
    </row>
    <row r="22">
      <c r="A22" s="23" t="n"/>
      <c r="B22" s="23" t="n"/>
      <c r="C22" s="20" t="n"/>
      <c r="D22" s="23" t="n"/>
      <c r="E22" s="24" t="n"/>
      <c r="F22" s="24" t="n"/>
      <c r="G22" s="15">
        <f>IF(OR($E22="",$F22="",$AG22="",$AH22="",$F22&lt;=0),"",($E22-($AG22-$AH22))/$F22)</f>
        <v/>
      </c>
      <c r="H22" s="24" t="n"/>
      <c r="I22" s="25" t="n"/>
      <c r="J22" s="25" t="n"/>
      <c r="K22" s="25" t="n"/>
      <c r="L22" s="25" t="n"/>
      <c r="M22" s="25" t="n"/>
      <c r="N22" s="25" t="n"/>
      <c r="O22" s="25" t="n"/>
      <c r="P22" s="25" t="n"/>
      <c r="Q22" s="25" t="n"/>
      <c r="R22" s="25" t="n"/>
      <c r="S22" s="25" t="n"/>
      <c r="T22" s="25" t="n"/>
      <c r="U22" s="17">
        <f>IF($AN22=0,"",IF($AP22&gt;0,"C：見送り（Must×）",IF($AO22&gt;=2,"C：見送り（×2件以上）",IF($AN22&lt;6,"B：追加情報を取得",IF(AND($AO22=0,$AM22/($AN22*2)&gt;=0.75),"A：進める","B：追加情報を取得")))))</f>
        <v/>
      </c>
      <c r="V22" s="18">
        <f>IF($AN22=0,"",$AM22/($AN22*2))</f>
        <v/>
      </c>
      <c r="W22" s="23" t="n"/>
      <c r="X22" s="20" t="n"/>
      <c r="Y22" s="22" t="n"/>
      <c r="Z22" s="22" t="n"/>
      <c r="AA22" s="20" t="n"/>
      <c r="AB22" s="20" t="n"/>
      <c r="AC22" s="22" t="n"/>
      <c r="AD22" s="23" t="n"/>
      <c r="AE22" s="23" t="n"/>
      <c r="AF22" s="23" t="n"/>
      <c r="AG22" s="24" t="n"/>
      <c r="AH22" s="24" t="n"/>
      <c r="AI22" s="17">
        <f>IF($H22="","",IF($H22&lt;300,"下限未満（対象外）",IF($H22&gt;3000,"上限超（対象外）","範囲内")))</f>
        <v/>
      </c>
      <c r="AJ22" s="15">
        <f>IF(OR($E22="",$F22="",$AG22="",$F22&lt;=0),"",($E22-$AG22)/$F22)</f>
        <v/>
      </c>
      <c r="AK22" s="23" t="n"/>
      <c r="AL22" s="20" t="n"/>
      <c r="AM22" s="21">
        <f>COUNTIF($I22:$T22,"◯")*2+COUNTIF($I22:$T22,"△〜◯")*1.5+COUNTIF($I22:$T22,"△")*1+COUNTIF($I22:$T22,"×〜△")*0.5</f>
        <v/>
      </c>
      <c r="AN22" s="17">
        <f>COUNTIF($I22:$T22,"◯")+COUNTIF($I22:$T22,"△〜◯")+COUNTIF($I22:$T22,"△")+COUNTIF($I22:$T22,"×〜△")+COUNTIF($I22:$T22,"×")</f>
        <v/>
      </c>
      <c r="AO22" s="17">
        <f>COUNTIF($I22:$T22,"×")</f>
        <v/>
      </c>
      <c r="AP22" s="17">
        <f>COUNTIF($I22,"×")+COUNTIF($J22,"×")+COUNTIF($L22,"×")+COUNTIF($O22,"×")</f>
        <v/>
      </c>
    </row>
    <row r="23">
      <c r="A23" s="23" t="n"/>
      <c r="B23" s="23" t="n"/>
      <c r="C23" s="20" t="n"/>
      <c r="D23" s="23" t="n"/>
      <c r="E23" s="24" t="n"/>
      <c r="F23" s="24" t="n"/>
      <c r="G23" s="15">
        <f>IF(OR($E23="",$F23="",$AG23="",$AH23="",$F23&lt;=0),"",($E23-($AG23-$AH23))/$F23)</f>
        <v/>
      </c>
      <c r="H23" s="24" t="n"/>
      <c r="I23" s="25" t="n"/>
      <c r="J23" s="25" t="n"/>
      <c r="K23" s="25" t="n"/>
      <c r="L23" s="25" t="n"/>
      <c r="M23" s="25" t="n"/>
      <c r="N23" s="25" t="n"/>
      <c r="O23" s="25" t="n"/>
      <c r="P23" s="25" t="n"/>
      <c r="Q23" s="25" t="n"/>
      <c r="R23" s="25" t="n"/>
      <c r="S23" s="25" t="n"/>
      <c r="T23" s="25" t="n"/>
      <c r="U23" s="17">
        <f>IF($AN23=0,"",IF($AP23&gt;0,"C：見送り（Must×）",IF($AO23&gt;=2,"C：見送り（×2件以上）",IF($AN23&lt;6,"B：追加情報を取得",IF(AND($AO23=0,$AM23/($AN23*2)&gt;=0.75),"A：進める","B：追加情報を取得")))))</f>
        <v/>
      </c>
      <c r="V23" s="18">
        <f>IF($AN23=0,"",$AM23/($AN23*2))</f>
        <v/>
      </c>
      <c r="W23" s="23" t="n"/>
      <c r="X23" s="20" t="n"/>
      <c r="Y23" s="22" t="n"/>
      <c r="Z23" s="22" t="n"/>
      <c r="AA23" s="20" t="n"/>
      <c r="AB23" s="20" t="n"/>
      <c r="AC23" s="22" t="n"/>
      <c r="AD23" s="23" t="n"/>
      <c r="AE23" s="23" t="n"/>
      <c r="AF23" s="23" t="n"/>
      <c r="AG23" s="24" t="n"/>
      <c r="AH23" s="24" t="n"/>
      <c r="AI23" s="17">
        <f>IF($H23="","",IF($H23&lt;300,"下限未満（対象外）",IF($H23&gt;3000,"上限超（対象外）","範囲内")))</f>
        <v/>
      </c>
      <c r="AJ23" s="15">
        <f>IF(OR($E23="",$F23="",$AG23="",$F23&lt;=0),"",($E23-$AG23)/$F23)</f>
        <v/>
      </c>
      <c r="AK23" s="23" t="n"/>
      <c r="AL23" s="20" t="n"/>
      <c r="AM23" s="21">
        <f>COUNTIF($I23:$T23,"◯")*2+COUNTIF($I23:$T23,"△〜◯")*1.5+COUNTIF($I23:$T23,"△")*1+COUNTIF($I23:$T23,"×〜△")*0.5</f>
        <v/>
      </c>
      <c r="AN23" s="17">
        <f>COUNTIF($I23:$T23,"◯")+COUNTIF($I23:$T23,"△〜◯")+COUNTIF($I23:$T23,"△")+COUNTIF($I23:$T23,"×〜△")+COUNTIF($I23:$T23,"×")</f>
        <v/>
      </c>
      <c r="AO23" s="17">
        <f>COUNTIF($I23:$T23,"×")</f>
        <v/>
      </c>
      <c r="AP23" s="17">
        <f>COUNTIF($I23,"×")+COUNTIF($J23,"×")+COUNTIF($L23,"×")+COUNTIF($O23,"×")</f>
        <v/>
      </c>
    </row>
    <row r="24">
      <c r="A24" s="23" t="n"/>
      <c r="B24" s="23" t="n"/>
      <c r="C24" s="20" t="n"/>
      <c r="D24" s="23" t="n"/>
      <c r="E24" s="24" t="n"/>
      <c r="F24" s="24" t="n"/>
      <c r="G24" s="15">
        <f>IF(OR($E24="",$F24="",$AG24="",$AH24="",$F24&lt;=0),"",($E24-($AG24-$AH24))/$F24)</f>
        <v/>
      </c>
      <c r="H24" s="24" t="n"/>
      <c r="I24" s="25" t="n"/>
      <c r="J24" s="25" t="n"/>
      <c r="K24" s="25" t="n"/>
      <c r="L24" s="25" t="n"/>
      <c r="M24" s="25" t="n"/>
      <c r="N24" s="25" t="n"/>
      <c r="O24" s="25" t="n"/>
      <c r="P24" s="25" t="n"/>
      <c r="Q24" s="25" t="n"/>
      <c r="R24" s="25" t="n"/>
      <c r="S24" s="25" t="n"/>
      <c r="T24" s="25" t="n"/>
      <c r="U24" s="17">
        <f>IF($AN24=0,"",IF($AP24&gt;0,"C：見送り（Must×）",IF($AO24&gt;=2,"C：見送り（×2件以上）",IF($AN24&lt;6,"B：追加情報を取得",IF(AND($AO24=0,$AM24/($AN24*2)&gt;=0.75),"A：進める","B：追加情報を取得")))))</f>
        <v/>
      </c>
      <c r="V24" s="18">
        <f>IF($AN24=0,"",$AM24/($AN24*2))</f>
        <v/>
      </c>
      <c r="W24" s="23" t="n"/>
      <c r="X24" s="20" t="n"/>
      <c r="Y24" s="22" t="n"/>
      <c r="Z24" s="22" t="n"/>
      <c r="AA24" s="20" t="n"/>
      <c r="AB24" s="20" t="n"/>
      <c r="AC24" s="22" t="n"/>
      <c r="AD24" s="23" t="n"/>
      <c r="AE24" s="23" t="n"/>
      <c r="AF24" s="23" t="n"/>
      <c r="AG24" s="24" t="n"/>
      <c r="AH24" s="24" t="n"/>
      <c r="AI24" s="17">
        <f>IF($H24="","",IF($H24&lt;300,"下限未満（対象外）",IF($H24&gt;3000,"上限超（対象外）","範囲内")))</f>
        <v/>
      </c>
      <c r="AJ24" s="15">
        <f>IF(OR($E24="",$F24="",$AG24="",$F24&lt;=0),"",($E24-$AG24)/$F24)</f>
        <v/>
      </c>
      <c r="AK24" s="23" t="n"/>
      <c r="AL24" s="20" t="n"/>
      <c r="AM24" s="21">
        <f>COUNTIF($I24:$T24,"◯")*2+COUNTIF($I24:$T24,"△〜◯")*1.5+COUNTIF($I24:$T24,"△")*1+COUNTIF($I24:$T24,"×〜△")*0.5</f>
        <v/>
      </c>
      <c r="AN24" s="17">
        <f>COUNTIF($I24:$T24,"◯")+COUNTIF($I24:$T24,"△〜◯")+COUNTIF($I24:$T24,"△")+COUNTIF($I24:$T24,"×〜△")+COUNTIF($I24:$T24,"×")</f>
        <v/>
      </c>
      <c r="AO24" s="17">
        <f>COUNTIF($I24:$T24,"×")</f>
        <v/>
      </c>
      <c r="AP24" s="17">
        <f>COUNTIF($I24,"×")+COUNTIF($J24,"×")+COUNTIF($L24,"×")+COUNTIF($O24,"×")</f>
        <v/>
      </c>
    </row>
    <row r="25">
      <c r="A25" s="23" t="n"/>
      <c r="B25" s="23" t="n"/>
      <c r="C25" s="20" t="n"/>
      <c r="D25" s="23" t="n"/>
      <c r="E25" s="24" t="n"/>
      <c r="F25" s="24" t="n"/>
      <c r="G25" s="15">
        <f>IF(OR($E25="",$F25="",$AG25="",$AH25="",$F25&lt;=0),"",($E25-($AG25-$AH25))/$F25)</f>
        <v/>
      </c>
      <c r="H25" s="24" t="n"/>
      <c r="I25" s="25" t="n"/>
      <c r="J25" s="25" t="n"/>
      <c r="K25" s="25" t="n"/>
      <c r="L25" s="25" t="n"/>
      <c r="M25" s="25" t="n"/>
      <c r="N25" s="25" t="n"/>
      <c r="O25" s="25" t="n"/>
      <c r="P25" s="25" t="n"/>
      <c r="Q25" s="25" t="n"/>
      <c r="R25" s="25" t="n"/>
      <c r="S25" s="25" t="n"/>
      <c r="T25" s="25" t="n"/>
      <c r="U25" s="17">
        <f>IF($AN25=0,"",IF($AP25&gt;0,"C：見送り（Must×）",IF($AO25&gt;=2,"C：見送り（×2件以上）",IF($AN25&lt;6,"B：追加情報を取得",IF(AND($AO25=0,$AM25/($AN25*2)&gt;=0.75),"A：進める","B：追加情報を取得")))))</f>
        <v/>
      </c>
      <c r="V25" s="18">
        <f>IF($AN25=0,"",$AM25/($AN25*2))</f>
        <v/>
      </c>
      <c r="W25" s="23" t="n"/>
      <c r="X25" s="20" t="n"/>
      <c r="Y25" s="22" t="n"/>
      <c r="Z25" s="22" t="n"/>
      <c r="AA25" s="20" t="n"/>
      <c r="AB25" s="20" t="n"/>
      <c r="AC25" s="22" t="n"/>
      <c r="AD25" s="23" t="n"/>
      <c r="AE25" s="23" t="n"/>
      <c r="AF25" s="23" t="n"/>
      <c r="AG25" s="24" t="n"/>
      <c r="AH25" s="24" t="n"/>
      <c r="AI25" s="17">
        <f>IF($H25="","",IF($H25&lt;300,"下限未満（対象外）",IF($H25&gt;3000,"上限超（対象外）","範囲内")))</f>
        <v/>
      </c>
      <c r="AJ25" s="15">
        <f>IF(OR($E25="",$F25="",$AG25="",$F25&lt;=0),"",($E25-$AG25)/$F25)</f>
        <v/>
      </c>
      <c r="AK25" s="23" t="n"/>
      <c r="AL25" s="20" t="n"/>
      <c r="AM25" s="21">
        <f>COUNTIF($I25:$T25,"◯")*2+COUNTIF($I25:$T25,"△〜◯")*1.5+COUNTIF($I25:$T25,"△")*1+COUNTIF($I25:$T25,"×〜△")*0.5</f>
        <v/>
      </c>
      <c r="AN25" s="17">
        <f>COUNTIF($I25:$T25,"◯")+COUNTIF($I25:$T25,"△〜◯")+COUNTIF($I25:$T25,"△")+COUNTIF($I25:$T25,"×〜△")+COUNTIF($I25:$T25,"×")</f>
        <v/>
      </c>
      <c r="AO25" s="17">
        <f>COUNTIF($I25:$T25,"×")</f>
        <v/>
      </c>
      <c r="AP25" s="17">
        <f>COUNTIF($I25,"×")+COUNTIF($J25,"×")+COUNTIF($L25,"×")+COUNTIF($O25,"×")</f>
        <v/>
      </c>
    </row>
    <row r="26">
      <c r="A26" s="23" t="n"/>
      <c r="B26" s="23" t="n"/>
      <c r="C26" s="20" t="n"/>
      <c r="D26" s="23" t="n"/>
      <c r="E26" s="24" t="n"/>
      <c r="F26" s="24" t="n"/>
      <c r="G26" s="15">
        <f>IF(OR($E26="",$F26="",$AG26="",$AH26="",$F26&lt;=0),"",($E26-($AG26-$AH26))/$F26)</f>
        <v/>
      </c>
      <c r="H26" s="24" t="n"/>
      <c r="I26" s="25" t="n"/>
      <c r="J26" s="25" t="n"/>
      <c r="K26" s="25" t="n"/>
      <c r="L26" s="25" t="n"/>
      <c r="M26" s="25" t="n"/>
      <c r="N26" s="25" t="n"/>
      <c r="O26" s="25" t="n"/>
      <c r="P26" s="25" t="n"/>
      <c r="Q26" s="25" t="n"/>
      <c r="R26" s="25" t="n"/>
      <c r="S26" s="25" t="n"/>
      <c r="T26" s="25" t="n"/>
      <c r="U26" s="17">
        <f>IF($AN26=0,"",IF($AP26&gt;0,"C：見送り（Must×）",IF($AO26&gt;=2,"C：見送り（×2件以上）",IF($AN26&lt;6,"B：追加情報を取得",IF(AND($AO26=0,$AM26/($AN26*2)&gt;=0.75),"A：進める","B：追加情報を取得")))))</f>
        <v/>
      </c>
      <c r="V26" s="18">
        <f>IF($AN26=0,"",$AM26/($AN26*2))</f>
        <v/>
      </c>
      <c r="W26" s="23" t="n"/>
      <c r="X26" s="20" t="n"/>
      <c r="Y26" s="22" t="n"/>
      <c r="Z26" s="22" t="n"/>
      <c r="AA26" s="20" t="n"/>
      <c r="AB26" s="20" t="n"/>
      <c r="AC26" s="22" t="n"/>
      <c r="AD26" s="23" t="n"/>
      <c r="AE26" s="23" t="n"/>
      <c r="AF26" s="23" t="n"/>
      <c r="AG26" s="24" t="n"/>
      <c r="AH26" s="24" t="n"/>
      <c r="AI26" s="17">
        <f>IF($H26="","",IF($H26&lt;300,"下限未満（対象外）",IF($H26&gt;3000,"上限超（対象外）","範囲内")))</f>
        <v/>
      </c>
      <c r="AJ26" s="15">
        <f>IF(OR($E26="",$F26="",$AG26="",$F26&lt;=0),"",($E26-$AG26)/$F26)</f>
        <v/>
      </c>
      <c r="AK26" s="23" t="n"/>
      <c r="AL26" s="20" t="n"/>
      <c r="AM26" s="21">
        <f>COUNTIF($I26:$T26,"◯")*2+COUNTIF($I26:$T26,"△〜◯")*1.5+COUNTIF($I26:$T26,"△")*1+COUNTIF($I26:$T26,"×〜△")*0.5</f>
        <v/>
      </c>
      <c r="AN26" s="17">
        <f>COUNTIF($I26:$T26,"◯")+COUNTIF($I26:$T26,"△〜◯")+COUNTIF($I26:$T26,"△")+COUNTIF($I26:$T26,"×〜△")+COUNTIF($I26:$T26,"×")</f>
        <v/>
      </c>
      <c r="AO26" s="17">
        <f>COUNTIF($I26:$T26,"×")</f>
        <v/>
      </c>
      <c r="AP26" s="17">
        <f>COUNTIF($I26,"×")+COUNTIF($J26,"×")+COUNTIF($L26,"×")+COUNTIF($O26,"×")</f>
        <v/>
      </c>
    </row>
    <row r="27">
      <c r="A27" s="23" t="n"/>
      <c r="B27" s="23" t="n"/>
      <c r="C27" s="20" t="n"/>
      <c r="D27" s="23" t="n"/>
      <c r="E27" s="24" t="n"/>
      <c r="F27" s="24" t="n"/>
      <c r="G27" s="15">
        <f>IF(OR($E27="",$F27="",$AG27="",$AH27="",$F27&lt;=0),"",($E27-($AG27-$AH27))/$F27)</f>
        <v/>
      </c>
      <c r="H27" s="24" t="n"/>
      <c r="I27" s="25" t="n"/>
      <c r="J27" s="25" t="n"/>
      <c r="K27" s="25" t="n"/>
      <c r="L27" s="25" t="n"/>
      <c r="M27" s="25" t="n"/>
      <c r="N27" s="25" t="n"/>
      <c r="O27" s="25" t="n"/>
      <c r="P27" s="25" t="n"/>
      <c r="Q27" s="25" t="n"/>
      <c r="R27" s="25" t="n"/>
      <c r="S27" s="25" t="n"/>
      <c r="T27" s="25" t="n"/>
      <c r="U27" s="17">
        <f>IF($AN27=0,"",IF($AP27&gt;0,"C：見送り（Must×）",IF($AO27&gt;=2,"C：見送り（×2件以上）",IF($AN27&lt;6,"B：追加情報を取得",IF(AND($AO27=0,$AM27/($AN27*2)&gt;=0.75),"A：進める","B：追加情報を取得")))))</f>
        <v/>
      </c>
      <c r="V27" s="18">
        <f>IF($AN27=0,"",$AM27/($AN27*2))</f>
        <v/>
      </c>
      <c r="W27" s="23" t="n"/>
      <c r="X27" s="20" t="n"/>
      <c r="Y27" s="22" t="n"/>
      <c r="Z27" s="22" t="n"/>
      <c r="AA27" s="20" t="n"/>
      <c r="AB27" s="20" t="n"/>
      <c r="AC27" s="22" t="n"/>
      <c r="AD27" s="23" t="n"/>
      <c r="AE27" s="23" t="n"/>
      <c r="AF27" s="23" t="n"/>
      <c r="AG27" s="24" t="n"/>
      <c r="AH27" s="24" t="n"/>
      <c r="AI27" s="17">
        <f>IF($H27="","",IF($H27&lt;300,"下限未満（対象外）",IF($H27&gt;3000,"上限超（対象外）","範囲内")))</f>
        <v/>
      </c>
      <c r="AJ27" s="15">
        <f>IF(OR($E27="",$F27="",$AG27="",$F27&lt;=0),"",($E27-$AG27)/$F27)</f>
        <v/>
      </c>
      <c r="AK27" s="23" t="n"/>
      <c r="AL27" s="20" t="n"/>
      <c r="AM27" s="21">
        <f>COUNTIF($I27:$T27,"◯")*2+COUNTIF($I27:$T27,"△〜◯")*1.5+COUNTIF($I27:$T27,"△")*1+COUNTIF($I27:$T27,"×〜△")*0.5</f>
        <v/>
      </c>
      <c r="AN27" s="17">
        <f>COUNTIF($I27:$T27,"◯")+COUNTIF($I27:$T27,"△〜◯")+COUNTIF($I27:$T27,"△")+COUNTIF($I27:$T27,"×〜△")+COUNTIF($I27:$T27,"×")</f>
        <v/>
      </c>
      <c r="AO27" s="17">
        <f>COUNTIF($I27:$T27,"×")</f>
        <v/>
      </c>
      <c r="AP27" s="17">
        <f>COUNTIF($I27,"×")+COUNTIF($J27,"×")+COUNTIF($L27,"×")+COUNTIF($O27,"×")</f>
        <v/>
      </c>
    </row>
    <row r="28">
      <c r="A28" s="23" t="n"/>
      <c r="B28" s="23" t="n"/>
      <c r="C28" s="20" t="n"/>
      <c r="D28" s="23" t="n"/>
      <c r="E28" s="24" t="n"/>
      <c r="F28" s="24" t="n"/>
      <c r="G28" s="15">
        <f>IF(OR($E28="",$F28="",$AG28="",$AH28="",$F28&lt;=0),"",($E28-($AG28-$AH28))/$F28)</f>
        <v/>
      </c>
      <c r="H28" s="24" t="n"/>
      <c r="I28" s="25" t="n"/>
      <c r="J28" s="25" t="n"/>
      <c r="K28" s="25" t="n"/>
      <c r="L28" s="25" t="n"/>
      <c r="M28" s="25" t="n"/>
      <c r="N28" s="25" t="n"/>
      <c r="O28" s="25" t="n"/>
      <c r="P28" s="25" t="n"/>
      <c r="Q28" s="25" t="n"/>
      <c r="R28" s="25" t="n"/>
      <c r="S28" s="25" t="n"/>
      <c r="T28" s="25" t="n"/>
      <c r="U28" s="17">
        <f>IF($AN28=0,"",IF($AP28&gt;0,"C：見送り（Must×）",IF($AO28&gt;=2,"C：見送り（×2件以上）",IF($AN28&lt;6,"B：追加情報を取得",IF(AND($AO28=0,$AM28/($AN28*2)&gt;=0.75),"A：進める","B：追加情報を取得")))))</f>
        <v/>
      </c>
      <c r="V28" s="18">
        <f>IF($AN28=0,"",$AM28/($AN28*2))</f>
        <v/>
      </c>
      <c r="W28" s="23" t="n"/>
      <c r="X28" s="20" t="n"/>
      <c r="Y28" s="22" t="n"/>
      <c r="Z28" s="22" t="n"/>
      <c r="AA28" s="20" t="n"/>
      <c r="AB28" s="20" t="n"/>
      <c r="AC28" s="22" t="n"/>
      <c r="AD28" s="23" t="n"/>
      <c r="AE28" s="23" t="n"/>
      <c r="AF28" s="23" t="n"/>
      <c r="AG28" s="24" t="n"/>
      <c r="AH28" s="24" t="n"/>
      <c r="AI28" s="17">
        <f>IF($H28="","",IF($H28&lt;300,"下限未満（対象外）",IF($H28&gt;3000,"上限超（対象外）","範囲内")))</f>
        <v/>
      </c>
      <c r="AJ28" s="15">
        <f>IF(OR($E28="",$F28="",$AG28="",$F28&lt;=0),"",($E28-$AG28)/$F28)</f>
        <v/>
      </c>
      <c r="AK28" s="23" t="n"/>
      <c r="AL28" s="20" t="n"/>
      <c r="AM28" s="21">
        <f>COUNTIF($I28:$T28,"◯")*2+COUNTIF($I28:$T28,"△〜◯")*1.5+COUNTIF($I28:$T28,"△")*1+COUNTIF($I28:$T28,"×〜△")*0.5</f>
        <v/>
      </c>
      <c r="AN28" s="17">
        <f>COUNTIF($I28:$T28,"◯")+COUNTIF($I28:$T28,"△〜◯")+COUNTIF($I28:$T28,"△")+COUNTIF($I28:$T28,"×〜△")+COUNTIF($I28:$T28,"×")</f>
        <v/>
      </c>
      <c r="AO28" s="17">
        <f>COUNTIF($I28:$T28,"×")</f>
        <v/>
      </c>
      <c r="AP28" s="17">
        <f>COUNTIF($I28,"×")+COUNTIF($J28,"×")+COUNTIF($L28,"×")+COUNTIF($O28,"×")</f>
        <v/>
      </c>
    </row>
    <row r="29">
      <c r="A29" s="23" t="n"/>
      <c r="B29" s="23" t="n"/>
      <c r="C29" s="20" t="n"/>
      <c r="D29" s="23" t="n"/>
      <c r="E29" s="24" t="n"/>
      <c r="F29" s="24" t="n"/>
      <c r="G29" s="15">
        <f>IF(OR($E29="",$F29="",$AG29="",$AH29="",$F29&lt;=0),"",($E29-($AG29-$AH29))/$F29)</f>
        <v/>
      </c>
      <c r="H29" s="24" t="n"/>
      <c r="I29" s="25" t="n"/>
      <c r="J29" s="25" t="n"/>
      <c r="K29" s="25" t="n"/>
      <c r="L29" s="25" t="n"/>
      <c r="M29" s="25" t="n"/>
      <c r="N29" s="25" t="n"/>
      <c r="O29" s="25" t="n"/>
      <c r="P29" s="25" t="n"/>
      <c r="Q29" s="25" t="n"/>
      <c r="R29" s="25" t="n"/>
      <c r="S29" s="25" t="n"/>
      <c r="T29" s="25" t="n"/>
      <c r="U29" s="17">
        <f>IF($AN29=0,"",IF($AP29&gt;0,"C：見送り（Must×）",IF($AO29&gt;=2,"C：見送り（×2件以上）",IF($AN29&lt;6,"B：追加情報を取得",IF(AND($AO29=0,$AM29/($AN29*2)&gt;=0.75),"A：進める","B：追加情報を取得")))))</f>
        <v/>
      </c>
      <c r="V29" s="18">
        <f>IF($AN29=0,"",$AM29/($AN29*2))</f>
        <v/>
      </c>
      <c r="W29" s="23" t="n"/>
      <c r="X29" s="20" t="n"/>
      <c r="Y29" s="22" t="n"/>
      <c r="Z29" s="22" t="n"/>
      <c r="AA29" s="20" t="n"/>
      <c r="AB29" s="20" t="n"/>
      <c r="AC29" s="22" t="n"/>
      <c r="AD29" s="23" t="n"/>
      <c r="AE29" s="23" t="n"/>
      <c r="AF29" s="23" t="n"/>
      <c r="AG29" s="24" t="n"/>
      <c r="AH29" s="24" t="n"/>
      <c r="AI29" s="17">
        <f>IF($H29="","",IF($H29&lt;300,"下限未満（対象外）",IF($H29&gt;3000,"上限超（対象外）","範囲内")))</f>
        <v/>
      </c>
      <c r="AJ29" s="15">
        <f>IF(OR($E29="",$F29="",$AG29="",$F29&lt;=0),"",($E29-$AG29)/$F29)</f>
        <v/>
      </c>
      <c r="AK29" s="23" t="n"/>
      <c r="AL29" s="20" t="n"/>
      <c r="AM29" s="21">
        <f>COUNTIF($I29:$T29,"◯")*2+COUNTIF($I29:$T29,"△〜◯")*1.5+COUNTIF($I29:$T29,"△")*1+COUNTIF($I29:$T29,"×〜△")*0.5</f>
        <v/>
      </c>
      <c r="AN29" s="17">
        <f>COUNTIF($I29:$T29,"◯")+COUNTIF($I29:$T29,"△〜◯")+COUNTIF($I29:$T29,"△")+COUNTIF($I29:$T29,"×〜△")+COUNTIF($I29:$T29,"×")</f>
        <v/>
      </c>
      <c r="AO29" s="17">
        <f>COUNTIF($I29:$T29,"×")</f>
        <v/>
      </c>
      <c r="AP29" s="17">
        <f>COUNTIF($I29,"×")+COUNTIF($J29,"×")+COUNTIF($L29,"×")+COUNTIF($O29,"×")</f>
        <v/>
      </c>
    </row>
    <row r="30">
      <c r="A30" s="23" t="n"/>
      <c r="B30" s="23" t="n"/>
      <c r="C30" s="20" t="n"/>
      <c r="D30" s="23" t="n"/>
      <c r="E30" s="24" t="n"/>
      <c r="F30" s="24" t="n"/>
      <c r="G30" s="15">
        <f>IF(OR($E30="",$F30="",$AG30="",$AH30="",$F30&lt;=0),"",($E30-($AG30-$AH30))/$F30)</f>
        <v/>
      </c>
      <c r="H30" s="24" t="n"/>
      <c r="I30" s="25" t="n"/>
      <c r="J30" s="25" t="n"/>
      <c r="K30" s="25" t="n"/>
      <c r="L30" s="25" t="n"/>
      <c r="M30" s="25" t="n"/>
      <c r="N30" s="25" t="n"/>
      <c r="O30" s="25" t="n"/>
      <c r="P30" s="25" t="n"/>
      <c r="Q30" s="25" t="n"/>
      <c r="R30" s="25" t="n"/>
      <c r="S30" s="25" t="n"/>
      <c r="T30" s="25" t="n"/>
      <c r="U30" s="17">
        <f>IF($AN30=0,"",IF($AP30&gt;0,"C：見送り（Must×）",IF($AO30&gt;=2,"C：見送り（×2件以上）",IF($AN30&lt;6,"B：追加情報を取得",IF(AND($AO30=0,$AM30/($AN30*2)&gt;=0.75),"A：進める","B：追加情報を取得")))))</f>
        <v/>
      </c>
      <c r="V30" s="18">
        <f>IF($AN30=0,"",$AM30/($AN30*2))</f>
        <v/>
      </c>
      <c r="W30" s="23" t="n"/>
      <c r="X30" s="20" t="n"/>
      <c r="Y30" s="22" t="n"/>
      <c r="Z30" s="22" t="n"/>
      <c r="AA30" s="20" t="n"/>
      <c r="AB30" s="20" t="n"/>
      <c r="AC30" s="22" t="n"/>
      <c r="AD30" s="23" t="n"/>
      <c r="AE30" s="23" t="n"/>
      <c r="AF30" s="23" t="n"/>
      <c r="AG30" s="24" t="n"/>
      <c r="AH30" s="24" t="n"/>
      <c r="AI30" s="17">
        <f>IF($H30="","",IF($H30&lt;300,"下限未満（対象外）",IF($H30&gt;3000,"上限超（対象外）","範囲内")))</f>
        <v/>
      </c>
      <c r="AJ30" s="15">
        <f>IF(OR($E30="",$F30="",$AG30="",$F30&lt;=0),"",($E30-$AG30)/$F30)</f>
        <v/>
      </c>
      <c r="AK30" s="23" t="n"/>
      <c r="AL30" s="20" t="n"/>
      <c r="AM30" s="21">
        <f>COUNTIF($I30:$T30,"◯")*2+COUNTIF($I30:$T30,"△〜◯")*1.5+COUNTIF($I30:$T30,"△")*1+COUNTIF($I30:$T30,"×〜△")*0.5</f>
        <v/>
      </c>
      <c r="AN30" s="17">
        <f>COUNTIF($I30:$T30,"◯")+COUNTIF($I30:$T30,"△〜◯")+COUNTIF($I30:$T30,"△")+COUNTIF($I30:$T30,"×〜△")+COUNTIF($I30:$T30,"×")</f>
        <v/>
      </c>
      <c r="AO30" s="17">
        <f>COUNTIF($I30:$T30,"×")</f>
        <v/>
      </c>
      <c r="AP30" s="17">
        <f>COUNTIF($I30,"×")+COUNTIF($J30,"×")+COUNTIF($L30,"×")+COUNTIF($O30,"×")</f>
        <v/>
      </c>
    </row>
    <row r="31">
      <c r="A31" s="23" t="n"/>
      <c r="B31" s="23" t="n"/>
      <c r="C31" s="20" t="n"/>
      <c r="D31" s="23" t="n"/>
      <c r="E31" s="24" t="n"/>
      <c r="F31" s="24" t="n"/>
      <c r="G31" s="15">
        <f>IF(OR($E31="",$F31="",$AG31="",$AH31="",$F31&lt;=0),"",($E31-($AG31-$AH31))/$F31)</f>
        <v/>
      </c>
      <c r="H31" s="24" t="n"/>
      <c r="I31" s="25" t="n"/>
      <c r="J31" s="25" t="n"/>
      <c r="K31" s="25" t="n"/>
      <c r="L31" s="25" t="n"/>
      <c r="M31" s="25" t="n"/>
      <c r="N31" s="25" t="n"/>
      <c r="O31" s="25" t="n"/>
      <c r="P31" s="25" t="n"/>
      <c r="Q31" s="25" t="n"/>
      <c r="R31" s="25" t="n"/>
      <c r="S31" s="25" t="n"/>
      <c r="T31" s="25" t="n"/>
      <c r="U31" s="17">
        <f>IF($AN31=0,"",IF($AP31&gt;0,"C：見送り（Must×）",IF($AO31&gt;=2,"C：見送り（×2件以上）",IF($AN31&lt;6,"B：追加情報を取得",IF(AND($AO31=0,$AM31/($AN31*2)&gt;=0.75),"A：進める","B：追加情報を取得")))))</f>
        <v/>
      </c>
      <c r="V31" s="18">
        <f>IF($AN31=0,"",$AM31/($AN31*2))</f>
        <v/>
      </c>
      <c r="W31" s="23" t="n"/>
      <c r="X31" s="20" t="n"/>
      <c r="Y31" s="22" t="n"/>
      <c r="Z31" s="22" t="n"/>
      <c r="AA31" s="20" t="n"/>
      <c r="AB31" s="20" t="n"/>
      <c r="AC31" s="22" t="n"/>
      <c r="AD31" s="23" t="n"/>
      <c r="AE31" s="23" t="n"/>
      <c r="AF31" s="23" t="n"/>
      <c r="AG31" s="24" t="n"/>
      <c r="AH31" s="24" t="n"/>
      <c r="AI31" s="17">
        <f>IF($H31="","",IF($H31&lt;300,"下限未満（対象外）",IF($H31&gt;3000,"上限超（対象外）","範囲内")))</f>
        <v/>
      </c>
      <c r="AJ31" s="15">
        <f>IF(OR($E31="",$F31="",$AG31="",$F31&lt;=0),"",($E31-$AG31)/$F31)</f>
        <v/>
      </c>
      <c r="AK31" s="23" t="n"/>
      <c r="AL31" s="20" t="n"/>
      <c r="AM31" s="21">
        <f>COUNTIF($I31:$T31,"◯")*2+COUNTIF($I31:$T31,"△〜◯")*1.5+COUNTIF($I31:$T31,"△")*1+COUNTIF($I31:$T31,"×〜△")*0.5</f>
        <v/>
      </c>
      <c r="AN31" s="17">
        <f>COUNTIF($I31:$T31,"◯")+COUNTIF($I31:$T31,"△〜◯")+COUNTIF($I31:$T31,"△")+COUNTIF($I31:$T31,"×〜△")+COUNTIF($I31:$T31,"×")</f>
        <v/>
      </c>
      <c r="AO31" s="17">
        <f>COUNTIF($I31:$T31,"×")</f>
        <v/>
      </c>
      <c r="AP31" s="17">
        <f>COUNTIF($I31,"×")+COUNTIF($J31,"×")+COUNTIF($L31,"×")+COUNTIF($O31,"×")</f>
        <v/>
      </c>
    </row>
    <row r="32">
      <c r="A32" s="23" t="n"/>
      <c r="B32" s="23" t="n"/>
      <c r="C32" s="20" t="n"/>
      <c r="D32" s="23" t="n"/>
      <c r="E32" s="24" t="n"/>
      <c r="F32" s="24" t="n"/>
      <c r="G32" s="15">
        <f>IF(OR($E32="",$F32="",$AG32="",$AH32="",$F32&lt;=0),"",($E32-($AG32-$AH32))/$F32)</f>
        <v/>
      </c>
      <c r="H32" s="24" t="n"/>
      <c r="I32" s="25" t="n"/>
      <c r="J32" s="25" t="n"/>
      <c r="K32" s="25" t="n"/>
      <c r="L32" s="25" t="n"/>
      <c r="M32" s="25" t="n"/>
      <c r="N32" s="25" t="n"/>
      <c r="O32" s="25" t="n"/>
      <c r="P32" s="25" t="n"/>
      <c r="Q32" s="25" t="n"/>
      <c r="R32" s="25" t="n"/>
      <c r="S32" s="25" t="n"/>
      <c r="T32" s="25" t="n"/>
      <c r="U32" s="17">
        <f>IF($AN32=0,"",IF($AP32&gt;0,"C：見送り（Must×）",IF($AO32&gt;=2,"C：見送り（×2件以上）",IF($AN32&lt;6,"B：追加情報を取得",IF(AND($AO32=0,$AM32/($AN32*2)&gt;=0.75),"A：進める","B：追加情報を取得")))))</f>
        <v/>
      </c>
      <c r="V32" s="18">
        <f>IF($AN32=0,"",$AM32/($AN32*2))</f>
        <v/>
      </c>
      <c r="W32" s="23" t="n"/>
      <c r="X32" s="20" t="n"/>
      <c r="Y32" s="22" t="n"/>
      <c r="Z32" s="22" t="n"/>
      <c r="AA32" s="20" t="n"/>
      <c r="AB32" s="20" t="n"/>
      <c r="AC32" s="22" t="n"/>
      <c r="AD32" s="23" t="n"/>
      <c r="AE32" s="23" t="n"/>
      <c r="AF32" s="23" t="n"/>
      <c r="AG32" s="24" t="n"/>
      <c r="AH32" s="24" t="n"/>
      <c r="AI32" s="17">
        <f>IF($H32="","",IF($H32&lt;300,"下限未満（対象外）",IF($H32&gt;3000,"上限超（対象外）","範囲内")))</f>
        <v/>
      </c>
      <c r="AJ32" s="15">
        <f>IF(OR($E32="",$F32="",$AG32="",$F32&lt;=0),"",($E32-$AG32)/$F32)</f>
        <v/>
      </c>
      <c r="AK32" s="23" t="n"/>
      <c r="AL32" s="20" t="n"/>
      <c r="AM32" s="21">
        <f>COUNTIF($I32:$T32,"◯")*2+COUNTIF($I32:$T32,"△〜◯")*1.5+COUNTIF($I32:$T32,"△")*1+COUNTIF($I32:$T32,"×〜△")*0.5</f>
        <v/>
      </c>
      <c r="AN32" s="17">
        <f>COUNTIF($I32:$T32,"◯")+COUNTIF($I32:$T32,"△〜◯")+COUNTIF($I32:$T32,"△")+COUNTIF($I32:$T32,"×〜△")+COUNTIF($I32:$T32,"×")</f>
        <v/>
      </c>
      <c r="AO32" s="17">
        <f>COUNTIF($I32:$T32,"×")</f>
        <v/>
      </c>
      <c r="AP32" s="17">
        <f>COUNTIF($I32,"×")+COUNTIF($J32,"×")+COUNTIF($L32,"×")+COUNTIF($O32,"×")</f>
        <v/>
      </c>
    </row>
    <row r="33">
      <c r="A33" s="23" t="n"/>
      <c r="B33" s="23" t="n"/>
      <c r="C33" s="20" t="n"/>
      <c r="D33" s="23" t="n"/>
      <c r="E33" s="24" t="n"/>
      <c r="F33" s="24" t="n"/>
      <c r="G33" s="15">
        <f>IF(OR($E33="",$F33="",$AG33="",$AH33="",$F33&lt;=0),"",($E33-($AG33-$AH33))/$F33)</f>
        <v/>
      </c>
      <c r="H33" s="24" t="n"/>
      <c r="I33" s="25" t="n"/>
      <c r="J33" s="25" t="n"/>
      <c r="K33" s="25" t="n"/>
      <c r="L33" s="25" t="n"/>
      <c r="M33" s="25" t="n"/>
      <c r="N33" s="25" t="n"/>
      <c r="O33" s="25" t="n"/>
      <c r="P33" s="25" t="n"/>
      <c r="Q33" s="25" t="n"/>
      <c r="R33" s="25" t="n"/>
      <c r="S33" s="25" t="n"/>
      <c r="T33" s="25" t="n"/>
      <c r="U33" s="17">
        <f>IF($AN33=0,"",IF($AP33&gt;0,"C：見送り（Must×）",IF($AO33&gt;=2,"C：見送り（×2件以上）",IF($AN33&lt;6,"B：追加情報を取得",IF(AND($AO33=0,$AM33/($AN33*2)&gt;=0.75),"A：進める","B：追加情報を取得")))))</f>
        <v/>
      </c>
      <c r="V33" s="18">
        <f>IF($AN33=0,"",$AM33/($AN33*2))</f>
        <v/>
      </c>
      <c r="W33" s="23" t="n"/>
      <c r="X33" s="20" t="n"/>
      <c r="Y33" s="22" t="n"/>
      <c r="Z33" s="22" t="n"/>
      <c r="AA33" s="20" t="n"/>
      <c r="AB33" s="20" t="n"/>
      <c r="AC33" s="22" t="n"/>
      <c r="AD33" s="23" t="n"/>
      <c r="AE33" s="23" t="n"/>
      <c r="AF33" s="23" t="n"/>
      <c r="AG33" s="24" t="n"/>
      <c r="AH33" s="24" t="n"/>
      <c r="AI33" s="17">
        <f>IF($H33="","",IF($H33&lt;300,"下限未満（対象外）",IF($H33&gt;3000,"上限超（対象外）","範囲内")))</f>
        <v/>
      </c>
      <c r="AJ33" s="15">
        <f>IF(OR($E33="",$F33="",$AG33="",$F33&lt;=0),"",($E33-$AG33)/$F33)</f>
        <v/>
      </c>
      <c r="AK33" s="23" t="n"/>
      <c r="AL33" s="20" t="n"/>
      <c r="AM33" s="21">
        <f>COUNTIF($I33:$T33,"◯")*2+COUNTIF($I33:$T33,"△〜◯")*1.5+COUNTIF($I33:$T33,"△")*1+COUNTIF($I33:$T33,"×〜△")*0.5</f>
        <v/>
      </c>
      <c r="AN33" s="17">
        <f>COUNTIF($I33:$T33,"◯")+COUNTIF($I33:$T33,"△〜◯")+COUNTIF($I33:$T33,"△")+COUNTIF($I33:$T33,"×〜△")+COUNTIF($I33:$T33,"×")</f>
        <v/>
      </c>
      <c r="AO33" s="17">
        <f>COUNTIF($I33:$T33,"×")</f>
        <v/>
      </c>
      <c r="AP33" s="17">
        <f>COUNTIF($I33,"×")+COUNTIF($J33,"×")+COUNTIF($L33,"×")+COUNTIF($O33,"×")</f>
        <v/>
      </c>
    </row>
    <row r="34">
      <c r="A34" s="23" t="n"/>
      <c r="B34" s="23" t="n"/>
      <c r="C34" s="20" t="n"/>
      <c r="D34" s="23" t="n"/>
      <c r="E34" s="24" t="n"/>
      <c r="F34" s="24" t="n"/>
      <c r="G34" s="15">
        <f>IF(OR($E34="",$F34="",$AG34="",$AH34="",$F34&lt;=0),"",($E34-($AG34-$AH34))/$F34)</f>
        <v/>
      </c>
      <c r="H34" s="24" t="n"/>
      <c r="I34" s="25" t="n"/>
      <c r="J34" s="25" t="n"/>
      <c r="K34" s="25" t="n"/>
      <c r="L34" s="25" t="n"/>
      <c r="M34" s="25" t="n"/>
      <c r="N34" s="25" t="n"/>
      <c r="O34" s="25" t="n"/>
      <c r="P34" s="25" t="n"/>
      <c r="Q34" s="25" t="n"/>
      <c r="R34" s="25" t="n"/>
      <c r="S34" s="25" t="n"/>
      <c r="T34" s="25" t="n"/>
      <c r="U34" s="17">
        <f>IF($AN34=0,"",IF($AP34&gt;0,"C：見送り（Must×）",IF($AO34&gt;=2,"C：見送り（×2件以上）",IF($AN34&lt;6,"B：追加情報を取得",IF(AND($AO34=0,$AM34/($AN34*2)&gt;=0.75),"A：進める","B：追加情報を取得")))))</f>
        <v/>
      </c>
      <c r="V34" s="18">
        <f>IF($AN34=0,"",$AM34/($AN34*2))</f>
        <v/>
      </c>
      <c r="W34" s="23" t="n"/>
      <c r="X34" s="20" t="n"/>
      <c r="Y34" s="22" t="n"/>
      <c r="Z34" s="22" t="n"/>
      <c r="AA34" s="20" t="n"/>
      <c r="AB34" s="20" t="n"/>
      <c r="AC34" s="22" t="n"/>
      <c r="AD34" s="23" t="n"/>
      <c r="AE34" s="23" t="n"/>
      <c r="AF34" s="23" t="n"/>
      <c r="AG34" s="24" t="n"/>
      <c r="AH34" s="24" t="n"/>
      <c r="AI34" s="17">
        <f>IF($H34="","",IF($H34&lt;300,"下限未満（対象外）",IF($H34&gt;3000,"上限超（対象外）","範囲内")))</f>
        <v/>
      </c>
      <c r="AJ34" s="15">
        <f>IF(OR($E34="",$F34="",$AG34="",$F34&lt;=0),"",($E34-$AG34)/$F34)</f>
        <v/>
      </c>
      <c r="AK34" s="23" t="n"/>
      <c r="AL34" s="20" t="n"/>
      <c r="AM34" s="21">
        <f>COUNTIF($I34:$T34,"◯")*2+COUNTIF($I34:$T34,"△〜◯")*1.5+COUNTIF($I34:$T34,"△")*1+COUNTIF($I34:$T34,"×〜△")*0.5</f>
        <v/>
      </c>
      <c r="AN34" s="17">
        <f>COUNTIF($I34:$T34,"◯")+COUNTIF($I34:$T34,"△〜◯")+COUNTIF($I34:$T34,"△")+COUNTIF($I34:$T34,"×〜△")+COUNTIF($I34:$T34,"×")</f>
        <v/>
      </c>
      <c r="AO34" s="17">
        <f>COUNTIF($I34:$T34,"×")</f>
        <v/>
      </c>
      <c r="AP34" s="17">
        <f>COUNTIF($I34,"×")+COUNTIF($J34,"×")+COUNTIF($L34,"×")+COUNTIF($O34,"×")</f>
        <v/>
      </c>
    </row>
    <row r="35">
      <c r="A35" s="23" t="n"/>
      <c r="B35" s="23" t="n"/>
      <c r="C35" s="20" t="n"/>
      <c r="D35" s="23" t="n"/>
      <c r="E35" s="24" t="n"/>
      <c r="F35" s="24" t="n"/>
      <c r="G35" s="15">
        <f>IF(OR($E35="",$F35="",$AG35="",$AH35="",$F35&lt;=0),"",($E35-($AG35-$AH35))/$F35)</f>
        <v/>
      </c>
      <c r="H35" s="24" t="n"/>
      <c r="I35" s="25" t="n"/>
      <c r="J35" s="25" t="n"/>
      <c r="K35" s="25" t="n"/>
      <c r="L35" s="25" t="n"/>
      <c r="M35" s="25" t="n"/>
      <c r="N35" s="25" t="n"/>
      <c r="O35" s="25" t="n"/>
      <c r="P35" s="25" t="n"/>
      <c r="Q35" s="25" t="n"/>
      <c r="R35" s="25" t="n"/>
      <c r="S35" s="25" t="n"/>
      <c r="T35" s="25" t="n"/>
      <c r="U35" s="17">
        <f>IF($AN35=0,"",IF($AP35&gt;0,"C：見送り（Must×）",IF($AO35&gt;=2,"C：見送り（×2件以上）",IF($AN35&lt;6,"B：追加情報を取得",IF(AND($AO35=0,$AM35/($AN35*2)&gt;=0.75),"A：進める","B：追加情報を取得")))))</f>
        <v/>
      </c>
      <c r="V35" s="18">
        <f>IF($AN35=0,"",$AM35/($AN35*2))</f>
        <v/>
      </c>
      <c r="W35" s="23" t="n"/>
      <c r="X35" s="20" t="n"/>
      <c r="Y35" s="22" t="n"/>
      <c r="Z35" s="22" t="n"/>
      <c r="AA35" s="20" t="n"/>
      <c r="AB35" s="20" t="n"/>
      <c r="AC35" s="22" t="n"/>
      <c r="AD35" s="23" t="n"/>
      <c r="AE35" s="23" t="n"/>
      <c r="AF35" s="23" t="n"/>
      <c r="AG35" s="24" t="n"/>
      <c r="AH35" s="24" t="n"/>
      <c r="AI35" s="17">
        <f>IF($H35="","",IF($H35&lt;300,"下限未満（対象外）",IF($H35&gt;3000,"上限超（対象外）","範囲内")))</f>
        <v/>
      </c>
      <c r="AJ35" s="15">
        <f>IF(OR($E35="",$F35="",$AG35="",$F35&lt;=0),"",($E35-$AG35)/$F35)</f>
        <v/>
      </c>
      <c r="AK35" s="23" t="n"/>
      <c r="AL35" s="20" t="n"/>
      <c r="AM35" s="21">
        <f>COUNTIF($I35:$T35,"◯")*2+COUNTIF($I35:$T35,"△〜◯")*1.5+COUNTIF($I35:$T35,"△")*1+COUNTIF($I35:$T35,"×〜△")*0.5</f>
        <v/>
      </c>
      <c r="AN35" s="17">
        <f>COUNTIF($I35:$T35,"◯")+COUNTIF($I35:$T35,"△〜◯")+COUNTIF($I35:$T35,"△")+COUNTIF($I35:$T35,"×〜△")+COUNTIF($I35:$T35,"×")</f>
        <v/>
      </c>
      <c r="AO35" s="17">
        <f>COUNTIF($I35:$T35,"×")</f>
        <v/>
      </c>
      <c r="AP35" s="17">
        <f>COUNTIF($I35,"×")+COUNTIF($J35,"×")+COUNTIF($L35,"×")+COUNTIF($O35,"×")</f>
        <v/>
      </c>
    </row>
    <row r="36">
      <c r="A36" s="23" t="n"/>
      <c r="B36" s="23" t="n"/>
      <c r="C36" s="20" t="n"/>
      <c r="D36" s="23" t="n"/>
      <c r="E36" s="24" t="n"/>
      <c r="F36" s="24" t="n"/>
      <c r="G36" s="15">
        <f>IF(OR($E36="",$F36="",$AG36="",$AH36="",$F36&lt;=0),"",($E36-($AG36-$AH36))/$F36)</f>
        <v/>
      </c>
      <c r="H36" s="24" t="n"/>
      <c r="I36" s="25" t="n"/>
      <c r="J36" s="25" t="n"/>
      <c r="K36" s="25" t="n"/>
      <c r="L36" s="25" t="n"/>
      <c r="M36" s="25" t="n"/>
      <c r="N36" s="25" t="n"/>
      <c r="O36" s="25" t="n"/>
      <c r="P36" s="25" t="n"/>
      <c r="Q36" s="25" t="n"/>
      <c r="R36" s="25" t="n"/>
      <c r="S36" s="25" t="n"/>
      <c r="T36" s="25" t="n"/>
      <c r="U36" s="17">
        <f>IF($AN36=0,"",IF($AP36&gt;0,"C：見送り（Must×）",IF($AO36&gt;=2,"C：見送り（×2件以上）",IF($AN36&lt;6,"B：追加情報を取得",IF(AND($AO36=0,$AM36/($AN36*2)&gt;=0.75),"A：進める","B：追加情報を取得")))))</f>
        <v/>
      </c>
      <c r="V36" s="18">
        <f>IF($AN36=0,"",$AM36/($AN36*2))</f>
        <v/>
      </c>
      <c r="W36" s="23" t="n"/>
      <c r="X36" s="20" t="n"/>
      <c r="Y36" s="22" t="n"/>
      <c r="Z36" s="22" t="n"/>
      <c r="AA36" s="20" t="n"/>
      <c r="AB36" s="20" t="n"/>
      <c r="AC36" s="22" t="n"/>
      <c r="AD36" s="23" t="n"/>
      <c r="AE36" s="23" t="n"/>
      <c r="AF36" s="23" t="n"/>
      <c r="AG36" s="24" t="n"/>
      <c r="AH36" s="24" t="n"/>
      <c r="AI36" s="17">
        <f>IF($H36="","",IF($H36&lt;300,"下限未満（対象外）",IF($H36&gt;3000,"上限超（対象外）","範囲内")))</f>
        <v/>
      </c>
      <c r="AJ36" s="15">
        <f>IF(OR($E36="",$F36="",$AG36="",$F36&lt;=0),"",($E36-$AG36)/$F36)</f>
        <v/>
      </c>
      <c r="AK36" s="23" t="n"/>
      <c r="AL36" s="20" t="n"/>
      <c r="AM36" s="21">
        <f>COUNTIF($I36:$T36,"◯")*2+COUNTIF($I36:$T36,"△〜◯")*1.5+COUNTIF($I36:$T36,"△")*1+COUNTIF($I36:$T36,"×〜△")*0.5</f>
        <v/>
      </c>
      <c r="AN36" s="17">
        <f>COUNTIF($I36:$T36,"◯")+COUNTIF($I36:$T36,"△〜◯")+COUNTIF($I36:$T36,"△")+COUNTIF($I36:$T36,"×〜△")+COUNTIF($I36:$T36,"×")</f>
        <v/>
      </c>
      <c r="AO36" s="17">
        <f>COUNTIF($I36:$T36,"×")</f>
        <v/>
      </c>
      <c r="AP36" s="17">
        <f>COUNTIF($I36,"×")+COUNTIF($J36,"×")+COUNTIF($L36,"×")+COUNTIF($O36,"×")</f>
        <v/>
      </c>
    </row>
    <row r="37">
      <c r="A37" s="23" t="n"/>
      <c r="B37" s="23" t="n"/>
      <c r="C37" s="20" t="n"/>
      <c r="D37" s="23" t="n"/>
      <c r="E37" s="24" t="n"/>
      <c r="F37" s="24" t="n"/>
      <c r="G37" s="15">
        <f>IF(OR($E37="",$F37="",$AG37="",$AH37="",$F37&lt;=0),"",($E37-($AG37-$AH37))/$F37)</f>
        <v/>
      </c>
      <c r="H37" s="24" t="n"/>
      <c r="I37" s="25" t="n"/>
      <c r="J37" s="25" t="n"/>
      <c r="K37" s="25" t="n"/>
      <c r="L37" s="25" t="n"/>
      <c r="M37" s="25" t="n"/>
      <c r="N37" s="25" t="n"/>
      <c r="O37" s="25" t="n"/>
      <c r="P37" s="25" t="n"/>
      <c r="Q37" s="25" t="n"/>
      <c r="R37" s="25" t="n"/>
      <c r="S37" s="25" t="n"/>
      <c r="T37" s="25" t="n"/>
      <c r="U37" s="17">
        <f>IF($AN37=0,"",IF($AP37&gt;0,"C：見送り（Must×）",IF($AO37&gt;=2,"C：見送り（×2件以上）",IF($AN37&lt;6,"B：追加情報を取得",IF(AND($AO37=0,$AM37/($AN37*2)&gt;=0.75),"A：進める","B：追加情報を取得")))))</f>
        <v/>
      </c>
      <c r="V37" s="18">
        <f>IF($AN37=0,"",$AM37/($AN37*2))</f>
        <v/>
      </c>
      <c r="W37" s="23" t="n"/>
      <c r="X37" s="20" t="n"/>
      <c r="Y37" s="22" t="n"/>
      <c r="Z37" s="22" t="n"/>
      <c r="AA37" s="20" t="n"/>
      <c r="AB37" s="20" t="n"/>
      <c r="AC37" s="22" t="n"/>
      <c r="AD37" s="23" t="n"/>
      <c r="AE37" s="23" t="n"/>
      <c r="AF37" s="23" t="n"/>
      <c r="AG37" s="24" t="n"/>
      <c r="AH37" s="24" t="n"/>
      <c r="AI37" s="17">
        <f>IF($H37="","",IF($H37&lt;300,"下限未満（対象外）",IF($H37&gt;3000,"上限超（対象外）","範囲内")))</f>
        <v/>
      </c>
      <c r="AJ37" s="15">
        <f>IF(OR($E37="",$F37="",$AG37="",$F37&lt;=0),"",($E37-$AG37)/$F37)</f>
        <v/>
      </c>
      <c r="AK37" s="23" t="n"/>
      <c r="AL37" s="20" t="n"/>
      <c r="AM37" s="21">
        <f>COUNTIF($I37:$T37,"◯")*2+COUNTIF($I37:$T37,"△〜◯")*1.5+COUNTIF($I37:$T37,"△")*1+COUNTIF($I37:$T37,"×〜△")*0.5</f>
        <v/>
      </c>
      <c r="AN37" s="17">
        <f>COUNTIF($I37:$T37,"◯")+COUNTIF($I37:$T37,"△〜◯")+COUNTIF($I37:$T37,"△")+COUNTIF($I37:$T37,"×〜△")+COUNTIF($I37:$T37,"×")</f>
        <v/>
      </c>
      <c r="AO37" s="17">
        <f>COUNTIF($I37:$T37,"×")</f>
        <v/>
      </c>
      <c r="AP37" s="17">
        <f>COUNTIF($I37,"×")+COUNTIF($J37,"×")+COUNTIF($L37,"×")+COUNTIF($O37,"×")</f>
        <v/>
      </c>
    </row>
    <row r="38">
      <c r="A38" s="23" t="n"/>
      <c r="B38" s="23" t="n"/>
      <c r="C38" s="20" t="n"/>
      <c r="D38" s="23" t="n"/>
      <c r="E38" s="24" t="n"/>
      <c r="F38" s="24" t="n"/>
      <c r="G38" s="15">
        <f>IF(OR($E38="",$F38="",$AG38="",$AH38="",$F38&lt;=0),"",($E38-($AG38-$AH38))/$F38)</f>
        <v/>
      </c>
      <c r="H38" s="24" t="n"/>
      <c r="I38" s="25" t="n"/>
      <c r="J38" s="25" t="n"/>
      <c r="K38" s="25" t="n"/>
      <c r="L38" s="25" t="n"/>
      <c r="M38" s="25" t="n"/>
      <c r="N38" s="25" t="n"/>
      <c r="O38" s="25" t="n"/>
      <c r="P38" s="25" t="n"/>
      <c r="Q38" s="25" t="n"/>
      <c r="R38" s="25" t="n"/>
      <c r="S38" s="25" t="n"/>
      <c r="T38" s="25" t="n"/>
      <c r="U38" s="17">
        <f>IF($AN38=0,"",IF($AP38&gt;0,"C：見送り（Must×）",IF($AO38&gt;=2,"C：見送り（×2件以上）",IF($AN38&lt;6,"B：追加情報を取得",IF(AND($AO38=0,$AM38/($AN38*2)&gt;=0.75),"A：進める","B：追加情報を取得")))))</f>
        <v/>
      </c>
      <c r="V38" s="18">
        <f>IF($AN38=0,"",$AM38/($AN38*2))</f>
        <v/>
      </c>
      <c r="W38" s="23" t="n"/>
      <c r="X38" s="20" t="n"/>
      <c r="Y38" s="22" t="n"/>
      <c r="Z38" s="22" t="n"/>
      <c r="AA38" s="20" t="n"/>
      <c r="AB38" s="20" t="n"/>
      <c r="AC38" s="22" t="n"/>
      <c r="AD38" s="23" t="n"/>
      <c r="AE38" s="23" t="n"/>
      <c r="AF38" s="23" t="n"/>
      <c r="AG38" s="24" t="n"/>
      <c r="AH38" s="24" t="n"/>
      <c r="AI38" s="17">
        <f>IF($H38="","",IF($H38&lt;300,"下限未満（対象外）",IF($H38&gt;3000,"上限超（対象外）","範囲内")))</f>
        <v/>
      </c>
      <c r="AJ38" s="15">
        <f>IF(OR($E38="",$F38="",$AG38="",$F38&lt;=0),"",($E38-$AG38)/$F38)</f>
        <v/>
      </c>
      <c r="AK38" s="23" t="n"/>
      <c r="AL38" s="20" t="n"/>
      <c r="AM38" s="21">
        <f>COUNTIF($I38:$T38,"◯")*2+COUNTIF($I38:$T38,"△〜◯")*1.5+COUNTIF($I38:$T38,"△")*1+COUNTIF($I38:$T38,"×〜△")*0.5</f>
        <v/>
      </c>
      <c r="AN38" s="17">
        <f>COUNTIF($I38:$T38,"◯")+COUNTIF($I38:$T38,"△〜◯")+COUNTIF($I38:$T38,"△")+COUNTIF($I38:$T38,"×〜△")+COUNTIF($I38:$T38,"×")</f>
        <v/>
      </c>
      <c r="AO38" s="17">
        <f>COUNTIF($I38:$T38,"×")</f>
        <v/>
      </c>
      <c r="AP38" s="17">
        <f>COUNTIF($I38,"×")+COUNTIF($J38,"×")+COUNTIF($L38,"×")+COUNTIF($O38,"×")</f>
        <v/>
      </c>
    </row>
    <row r="39">
      <c r="A39" s="23" t="n"/>
      <c r="B39" s="23" t="n"/>
      <c r="C39" s="20" t="n"/>
      <c r="D39" s="23" t="n"/>
      <c r="E39" s="24" t="n"/>
      <c r="F39" s="24" t="n"/>
      <c r="G39" s="15">
        <f>IF(OR($E39="",$F39="",$AG39="",$AH39="",$F39&lt;=0),"",($E39-($AG39-$AH39))/$F39)</f>
        <v/>
      </c>
      <c r="H39" s="24" t="n"/>
      <c r="I39" s="25" t="n"/>
      <c r="J39" s="25" t="n"/>
      <c r="K39" s="25" t="n"/>
      <c r="L39" s="25" t="n"/>
      <c r="M39" s="25" t="n"/>
      <c r="N39" s="25" t="n"/>
      <c r="O39" s="25" t="n"/>
      <c r="P39" s="25" t="n"/>
      <c r="Q39" s="25" t="n"/>
      <c r="R39" s="25" t="n"/>
      <c r="S39" s="25" t="n"/>
      <c r="T39" s="25" t="n"/>
      <c r="U39" s="17">
        <f>IF($AN39=0,"",IF($AP39&gt;0,"C：見送り（Must×）",IF($AO39&gt;=2,"C：見送り（×2件以上）",IF($AN39&lt;6,"B：追加情報を取得",IF(AND($AO39=0,$AM39/($AN39*2)&gt;=0.75),"A：進める","B：追加情報を取得")))))</f>
        <v/>
      </c>
      <c r="V39" s="18">
        <f>IF($AN39=0,"",$AM39/($AN39*2))</f>
        <v/>
      </c>
      <c r="W39" s="23" t="n"/>
      <c r="X39" s="20" t="n"/>
      <c r="Y39" s="22" t="n"/>
      <c r="Z39" s="22" t="n"/>
      <c r="AA39" s="20" t="n"/>
      <c r="AB39" s="20" t="n"/>
      <c r="AC39" s="22" t="n"/>
      <c r="AD39" s="23" t="n"/>
      <c r="AE39" s="23" t="n"/>
      <c r="AF39" s="23" t="n"/>
      <c r="AG39" s="24" t="n"/>
      <c r="AH39" s="24" t="n"/>
      <c r="AI39" s="17">
        <f>IF($H39="","",IF($H39&lt;300,"下限未満（対象外）",IF($H39&gt;3000,"上限超（対象外）","範囲内")))</f>
        <v/>
      </c>
      <c r="AJ39" s="15">
        <f>IF(OR($E39="",$F39="",$AG39="",$F39&lt;=0),"",($E39-$AG39)/$F39)</f>
        <v/>
      </c>
      <c r="AK39" s="23" t="n"/>
      <c r="AL39" s="20" t="n"/>
      <c r="AM39" s="21">
        <f>COUNTIF($I39:$T39,"◯")*2+COUNTIF($I39:$T39,"△〜◯")*1.5+COUNTIF($I39:$T39,"△")*1+COUNTIF($I39:$T39,"×〜△")*0.5</f>
        <v/>
      </c>
      <c r="AN39" s="17">
        <f>COUNTIF($I39:$T39,"◯")+COUNTIF($I39:$T39,"△〜◯")+COUNTIF($I39:$T39,"△")+COUNTIF($I39:$T39,"×〜△")+COUNTIF($I39:$T39,"×")</f>
        <v/>
      </c>
      <c r="AO39" s="17">
        <f>COUNTIF($I39:$T39,"×")</f>
        <v/>
      </c>
      <c r="AP39" s="17">
        <f>COUNTIF($I39,"×")+COUNTIF($J39,"×")+COUNTIF($L39,"×")+COUNTIF($O39,"×")</f>
        <v/>
      </c>
    </row>
    <row r="40">
      <c r="A40" s="23" t="n"/>
      <c r="B40" s="23" t="n"/>
      <c r="C40" s="20" t="n"/>
      <c r="D40" s="23" t="n"/>
      <c r="E40" s="24" t="n"/>
      <c r="F40" s="24" t="n"/>
      <c r="G40" s="15">
        <f>IF(OR($E40="",$F40="",$AG40="",$AH40="",$F40&lt;=0),"",($E40-($AG40-$AH40))/$F40)</f>
        <v/>
      </c>
      <c r="H40" s="24" t="n"/>
      <c r="I40" s="25" t="n"/>
      <c r="J40" s="25" t="n"/>
      <c r="K40" s="25" t="n"/>
      <c r="L40" s="25" t="n"/>
      <c r="M40" s="25" t="n"/>
      <c r="N40" s="25" t="n"/>
      <c r="O40" s="25" t="n"/>
      <c r="P40" s="25" t="n"/>
      <c r="Q40" s="25" t="n"/>
      <c r="R40" s="25" t="n"/>
      <c r="S40" s="25" t="n"/>
      <c r="T40" s="25" t="n"/>
      <c r="U40" s="17">
        <f>IF($AN40=0,"",IF($AP40&gt;0,"C：見送り（Must×）",IF($AO40&gt;=2,"C：見送り（×2件以上）",IF($AN40&lt;6,"B：追加情報を取得",IF(AND($AO40=0,$AM40/($AN40*2)&gt;=0.75),"A：進める","B：追加情報を取得")))))</f>
        <v/>
      </c>
      <c r="V40" s="18">
        <f>IF($AN40=0,"",$AM40/($AN40*2))</f>
        <v/>
      </c>
      <c r="W40" s="23" t="n"/>
      <c r="X40" s="20" t="n"/>
      <c r="Y40" s="22" t="n"/>
      <c r="Z40" s="22" t="n"/>
      <c r="AA40" s="20" t="n"/>
      <c r="AB40" s="20" t="n"/>
      <c r="AC40" s="22" t="n"/>
      <c r="AD40" s="23" t="n"/>
      <c r="AE40" s="23" t="n"/>
      <c r="AF40" s="23" t="n"/>
      <c r="AG40" s="24" t="n"/>
      <c r="AH40" s="24" t="n"/>
      <c r="AI40" s="17">
        <f>IF($H40="","",IF($H40&lt;300,"下限未満（対象外）",IF($H40&gt;3000,"上限超（対象外）","範囲内")))</f>
        <v/>
      </c>
      <c r="AJ40" s="15">
        <f>IF(OR($E40="",$F40="",$AG40="",$F40&lt;=0),"",($E40-$AG40)/$F40)</f>
        <v/>
      </c>
      <c r="AK40" s="23" t="n"/>
      <c r="AL40" s="20" t="n"/>
      <c r="AM40" s="21">
        <f>COUNTIF($I40:$T40,"◯")*2+COUNTIF($I40:$T40,"△〜◯")*1.5+COUNTIF($I40:$T40,"△")*1+COUNTIF($I40:$T40,"×〜△")*0.5</f>
        <v/>
      </c>
      <c r="AN40" s="17">
        <f>COUNTIF($I40:$T40,"◯")+COUNTIF($I40:$T40,"△〜◯")+COUNTIF($I40:$T40,"△")+COUNTIF($I40:$T40,"×〜△")+COUNTIF($I40:$T40,"×")</f>
        <v/>
      </c>
      <c r="AO40" s="17">
        <f>COUNTIF($I40:$T40,"×")</f>
        <v/>
      </c>
      <c r="AP40" s="17">
        <f>COUNTIF($I40,"×")+COUNTIF($J40,"×")+COUNTIF($L40,"×")+COUNTIF($O40,"×")</f>
        <v/>
      </c>
    </row>
    <row r="41">
      <c r="A41" s="23" t="n"/>
      <c r="B41" s="23" t="n"/>
      <c r="C41" s="20" t="n"/>
      <c r="D41" s="23" t="n"/>
      <c r="E41" s="24" t="n"/>
      <c r="F41" s="24" t="n"/>
      <c r="G41" s="15">
        <f>IF(OR($E41="",$F41="",$AG41="",$AH41="",$F41&lt;=0),"",($E41-($AG41-$AH41))/$F41)</f>
        <v/>
      </c>
      <c r="H41" s="24" t="n"/>
      <c r="I41" s="25" t="n"/>
      <c r="J41" s="25" t="n"/>
      <c r="K41" s="25" t="n"/>
      <c r="L41" s="25" t="n"/>
      <c r="M41" s="25" t="n"/>
      <c r="N41" s="25" t="n"/>
      <c r="O41" s="25" t="n"/>
      <c r="P41" s="25" t="n"/>
      <c r="Q41" s="25" t="n"/>
      <c r="R41" s="25" t="n"/>
      <c r="S41" s="25" t="n"/>
      <c r="T41" s="25" t="n"/>
      <c r="U41" s="17">
        <f>IF($AN41=0,"",IF($AP41&gt;0,"C：見送り（Must×）",IF($AO41&gt;=2,"C：見送り（×2件以上）",IF($AN41&lt;6,"B：追加情報を取得",IF(AND($AO41=0,$AM41/($AN41*2)&gt;=0.75),"A：進める","B：追加情報を取得")))))</f>
        <v/>
      </c>
      <c r="V41" s="18">
        <f>IF($AN41=0,"",$AM41/($AN41*2))</f>
        <v/>
      </c>
      <c r="W41" s="23" t="n"/>
      <c r="X41" s="20" t="n"/>
      <c r="Y41" s="22" t="n"/>
      <c r="Z41" s="22" t="n"/>
      <c r="AA41" s="20" t="n"/>
      <c r="AB41" s="20" t="n"/>
      <c r="AC41" s="22" t="n"/>
      <c r="AD41" s="23" t="n"/>
      <c r="AE41" s="23" t="n"/>
      <c r="AF41" s="23" t="n"/>
      <c r="AG41" s="24" t="n"/>
      <c r="AH41" s="24" t="n"/>
      <c r="AI41" s="17">
        <f>IF($H41="","",IF($H41&lt;300,"下限未満（対象外）",IF($H41&gt;3000,"上限超（対象外）","範囲内")))</f>
        <v/>
      </c>
      <c r="AJ41" s="15">
        <f>IF(OR($E41="",$F41="",$AG41="",$F41&lt;=0),"",($E41-$AG41)/$F41)</f>
        <v/>
      </c>
      <c r="AK41" s="23" t="n"/>
      <c r="AL41" s="20" t="n"/>
      <c r="AM41" s="21">
        <f>COUNTIF($I41:$T41,"◯")*2+COUNTIF($I41:$T41,"△〜◯")*1.5+COUNTIF($I41:$T41,"△")*1+COUNTIF($I41:$T41,"×〜△")*0.5</f>
        <v/>
      </c>
      <c r="AN41" s="17">
        <f>COUNTIF($I41:$T41,"◯")+COUNTIF($I41:$T41,"△〜◯")+COUNTIF($I41:$T41,"△")+COUNTIF($I41:$T41,"×〜△")+COUNTIF($I41:$T41,"×")</f>
        <v/>
      </c>
      <c r="AO41" s="17">
        <f>COUNTIF($I41:$T41,"×")</f>
        <v/>
      </c>
      <c r="AP41" s="17">
        <f>COUNTIF($I41,"×")+COUNTIF($J41,"×")+COUNTIF($L41,"×")+COUNTIF($O41,"×")</f>
        <v/>
      </c>
    </row>
    <row r="42">
      <c r="A42" s="23" t="n"/>
      <c r="B42" s="23" t="n"/>
      <c r="C42" s="20" t="n"/>
      <c r="D42" s="23" t="n"/>
      <c r="E42" s="24" t="n"/>
      <c r="F42" s="24" t="n"/>
      <c r="G42" s="15">
        <f>IF(OR($E42="",$F42="",$AG42="",$AH42="",$F42&lt;=0),"",($E42-($AG42-$AH42))/$F42)</f>
        <v/>
      </c>
      <c r="H42" s="24" t="n"/>
      <c r="I42" s="25" t="n"/>
      <c r="J42" s="25" t="n"/>
      <c r="K42" s="25" t="n"/>
      <c r="L42" s="25" t="n"/>
      <c r="M42" s="25" t="n"/>
      <c r="N42" s="25" t="n"/>
      <c r="O42" s="25" t="n"/>
      <c r="P42" s="25" t="n"/>
      <c r="Q42" s="25" t="n"/>
      <c r="R42" s="25" t="n"/>
      <c r="S42" s="25" t="n"/>
      <c r="T42" s="25" t="n"/>
      <c r="U42" s="17">
        <f>IF($AN42=0,"",IF($AP42&gt;0,"C：見送り（Must×）",IF($AO42&gt;=2,"C：見送り（×2件以上）",IF($AN42&lt;6,"B：追加情報を取得",IF(AND($AO42=0,$AM42/($AN42*2)&gt;=0.75),"A：進める","B：追加情報を取得")))))</f>
        <v/>
      </c>
      <c r="V42" s="18">
        <f>IF($AN42=0,"",$AM42/($AN42*2))</f>
        <v/>
      </c>
      <c r="W42" s="23" t="n"/>
      <c r="X42" s="20" t="n"/>
      <c r="Y42" s="22" t="n"/>
      <c r="Z42" s="22" t="n"/>
      <c r="AA42" s="20" t="n"/>
      <c r="AB42" s="20" t="n"/>
      <c r="AC42" s="22" t="n"/>
      <c r="AD42" s="23" t="n"/>
      <c r="AE42" s="23" t="n"/>
      <c r="AF42" s="23" t="n"/>
      <c r="AG42" s="24" t="n"/>
      <c r="AH42" s="24" t="n"/>
      <c r="AI42" s="17">
        <f>IF($H42="","",IF($H42&lt;300,"下限未満（対象外）",IF($H42&gt;3000,"上限超（対象外）","範囲内")))</f>
        <v/>
      </c>
      <c r="AJ42" s="15">
        <f>IF(OR($E42="",$F42="",$AG42="",$F42&lt;=0),"",($E42-$AG42)/$F42)</f>
        <v/>
      </c>
      <c r="AK42" s="23" t="n"/>
      <c r="AL42" s="20" t="n"/>
      <c r="AM42" s="21">
        <f>COUNTIF($I42:$T42,"◯")*2+COUNTIF($I42:$T42,"△〜◯")*1.5+COUNTIF($I42:$T42,"△")*1+COUNTIF($I42:$T42,"×〜△")*0.5</f>
        <v/>
      </c>
      <c r="AN42" s="17">
        <f>COUNTIF($I42:$T42,"◯")+COUNTIF($I42:$T42,"△〜◯")+COUNTIF($I42:$T42,"△")+COUNTIF($I42:$T42,"×〜△")+COUNTIF($I42:$T42,"×")</f>
        <v/>
      </c>
      <c r="AO42" s="17">
        <f>COUNTIF($I42:$T42,"×")</f>
        <v/>
      </c>
      <c r="AP42" s="17">
        <f>COUNTIF($I42,"×")+COUNTIF($J42,"×")+COUNTIF($L42,"×")+COUNTIF($O42,"×")</f>
        <v/>
      </c>
    </row>
    <row r="43">
      <c r="A43" s="23" t="n"/>
      <c r="B43" s="23" t="n"/>
      <c r="C43" s="20" t="n"/>
      <c r="D43" s="23" t="n"/>
      <c r="E43" s="24" t="n"/>
      <c r="F43" s="24" t="n"/>
      <c r="G43" s="15">
        <f>IF(OR($E43="",$F43="",$AG43="",$AH43="",$F43&lt;=0),"",($E43-($AG43-$AH43))/$F43)</f>
        <v/>
      </c>
      <c r="H43" s="24" t="n"/>
      <c r="I43" s="25" t="n"/>
      <c r="J43" s="25" t="n"/>
      <c r="K43" s="25" t="n"/>
      <c r="L43" s="25" t="n"/>
      <c r="M43" s="25" t="n"/>
      <c r="N43" s="25" t="n"/>
      <c r="O43" s="25" t="n"/>
      <c r="P43" s="25" t="n"/>
      <c r="Q43" s="25" t="n"/>
      <c r="R43" s="25" t="n"/>
      <c r="S43" s="25" t="n"/>
      <c r="T43" s="25" t="n"/>
      <c r="U43" s="17">
        <f>IF($AN43=0,"",IF($AP43&gt;0,"C：見送り（Must×）",IF($AO43&gt;=2,"C：見送り（×2件以上）",IF($AN43&lt;6,"B：追加情報を取得",IF(AND($AO43=0,$AM43/($AN43*2)&gt;=0.75),"A：進める","B：追加情報を取得")))))</f>
        <v/>
      </c>
      <c r="V43" s="18">
        <f>IF($AN43=0,"",$AM43/($AN43*2))</f>
        <v/>
      </c>
      <c r="W43" s="23" t="n"/>
      <c r="X43" s="20" t="n"/>
      <c r="Y43" s="22" t="n"/>
      <c r="Z43" s="22" t="n"/>
      <c r="AA43" s="20" t="n"/>
      <c r="AB43" s="20" t="n"/>
      <c r="AC43" s="22" t="n"/>
      <c r="AD43" s="23" t="n"/>
      <c r="AE43" s="23" t="n"/>
      <c r="AF43" s="23" t="n"/>
      <c r="AG43" s="24" t="n"/>
      <c r="AH43" s="24" t="n"/>
      <c r="AI43" s="17">
        <f>IF($H43="","",IF($H43&lt;300,"下限未満（対象外）",IF($H43&gt;3000,"上限超（対象外）","範囲内")))</f>
        <v/>
      </c>
      <c r="AJ43" s="15">
        <f>IF(OR($E43="",$F43="",$AG43="",$F43&lt;=0),"",($E43-$AG43)/$F43)</f>
        <v/>
      </c>
      <c r="AK43" s="23" t="n"/>
      <c r="AL43" s="20" t="n"/>
      <c r="AM43" s="21">
        <f>COUNTIF($I43:$T43,"◯")*2+COUNTIF($I43:$T43,"△〜◯")*1.5+COUNTIF($I43:$T43,"△")*1+COUNTIF($I43:$T43,"×〜△")*0.5</f>
        <v/>
      </c>
      <c r="AN43" s="17">
        <f>COUNTIF($I43:$T43,"◯")+COUNTIF($I43:$T43,"△〜◯")+COUNTIF($I43:$T43,"△")+COUNTIF($I43:$T43,"×〜△")+COUNTIF($I43:$T43,"×")</f>
        <v/>
      </c>
      <c r="AO43" s="17">
        <f>COUNTIF($I43:$T43,"×")</f>
        <v/>
      </c>
      <c r="AP43" s="17">
        <f>COUNTIF($I43,"×")+COUNTIF($J43,"×")+COUNTIF($L43,"×")+COUNTIF($O43,"×")</f>
        <v/>
      </c>
    </row>
    <row r="44">
      <c r="A44" s="23" t="n"/>
      <c r="B44" s="23" t="n"/>
      <c r="C44" s="20" t="n"/>
      <c r="D44" s="23" t="n"/>
      <c r="E44" s="24" t="n"/>
      <c r="F44" s="24" t="n"/>
      <c r="G44" s="15">
        <f>IF(OR($E44="",$F44="",$AG44="",$AH44="",$F44&lt;=0),"",($E44-($AG44-$AH44))/$F44)</f>
        <v/>
      </c>
      <c r="H44" s="24" t="n"/>
      <c r="I44" s="25" t="n"/>
      <c r="J44" s="25" t="n"/>
      <c r="K44" s="25" t="n"/>
      <c r="L44" s="25" t="n"/>
      <c r="M44" s="25" t="n"/>
      <c r="N44" s="25" t="n"/>
      <c r="O44" s="25" t="n"/>
      <c r="P44" s="25" t="n"/>
      <c r="Q44" s="25" t="n"/>
      <c r="R44" s="25" t="n"/>
      <c r="S44" s="25" t="n"/>
      <c r="T44" s="25" t="n"/>
      <c r="U44" s="17">
        <f>IF($AN44=0,"",IF($AP44&gt;0,"C：見送り（Must×）",IF($AO44&gt;=2,"C：見送り（×2件以上）",IF($AN44&lt;6,"B：追加情報を取得",IF(AND($AO44=0,$AM44/($AN44*2)&gt;=0.75),"A：進める","B：追加情報を取得")))))</f>
        <v/>
      </c>
      <c r="V44" s="18">
        <f>IF($AN44=0,"",$AM44/($AN44*2))</f>
        <v/>
      </c>
      <c r="W44" s="23" t="n"/>
      <c r="X44" s="20" t="n"/>
      <c r="Y44" s="22" t="n"/>
      <c r="Z44" s="22" t="n"/>
      <c r="AA44" s="20" t="n"/>
      <c r="AB44" s="20" t="n"/>
      <c r="AC44" s="22" t="n"/>
      <c r="AD44" s="23" t="n"/>
      <c r="AE44" s="23" t="n"/>
      <c r="AF44" s="23" t="n"/>
      <c r="AG44" s="24" t="n"/>
      <c r="AH44" s="24" t="n"/>
      <c r="AI44" s="17">
        <f>IF($H44="","",IF($H44&lt;300,"下限未満（対象外）",IF($H44&gt;3000,"上限超（対象外）","範囲内")))</f>
        <v/>
      </c>
      <c r="AJ44" s="15">
        <f>IF(OR($E44="",$F44="",$AG44="",$F44&lt;=0),"",($E44-$AG44)/$F44)</f>
        <v/>
      </c>
      <c r="AK44" s="23" t="n"/>
      <c r="AL44" s="20" t="n"/>
      <c r="AM44" s="21">
        <f>COUNTIF($I44:$T44,"◯")*2+COUNTIF($I44:$T44,"△〜◯")*1.5+COUNTIF($I44:$T44,"△")*1+COUNTIF($I44:$T44,"×〜△")*0.5</f>
        <v/>
      </c>
      <c r="AN44" s="17">
        <f>COUNTIF($I44:$T44,"◯")+COUNTIF($I44:$T44,"△〜◯")+COUNTIF($I44:$T44,"△")+COUNTIF($I44:$T44,"×〜△")+COUNTIF($I44:$T44,"×")</f>
        <v/>
      </c>
      <c r="AO44" s="17">
        <f>COUNTIF($I44:$T44,"×")</f>
        <v/>
      </c>
      <c r="AP44" s="17">
        <f>COUNTIF($I44,"×")+COUNTIF($J44,"×")+COUNTIF($L44,"×")+COUNTIF($O44,"×")</f>
        <v/>
      </c>
    </row>
    <row r="45">
      <c r="A45" s="23" t="n"/>
      <c r="B45" s="23" t="n"/>
      <c r="C45" s="20" t="n"/>
      <c r="D45" s="23" t="n"/>
      <c r="E45" s="24" t="n"/>
      <c r="F45" s="24" t="n"/>
      <c r="G45" s="15">
        <f>IF(OR($E45="",$F45="",$AG45="",$AH45="",$F45&lt;=0),"",($E45-($AG45-$AH45))/$F45)</f>
        <v/>
      </c>
      <c r="H45" s="24" t="n"/>
      <c r="I45" s="25" t="n"/>
      <c r="J45" s="25" t="n"/>
      <c r="K45" s="25" t="n"/>
      <c r="L45" s="25" t="n"/>
      <c r="M45" s="25" t="n"/>
      <c r="N45" s="25" t="n"/>
      <c r="O45" s="25" t="n"/>
      <c r="P45" s="25" t="n"/>
      <c r="Q45" s="25" t="n"/>
      <c r="R45" s="25" t="n"/>
      <c r="S45" s="25" t="n"/>
      <c r="T45" s="25" t="n"/>
      <c r="U45" s="17">
        <f>IF($AN45=0,"",IF($AP45&gt;0,"C：見送り（Must×）",IF($AO45&gt;=2,"C：見送り（×2件以上）",IF($AN45&lt;6,"B：追加情報を取得",IF(AND($AO45=0,$AM45/($AN45*2)&gt;=0.75),"A：進める","B：追加情報を取得")))))</f>
        <v/>
      </c>
      <c r="V45" s="18">
        <f>IF($AN45=0,"",$AM45/($AN45*2))</f>
        <v/>
      </c>
      <c r="W45" s="23" t="n"/>
      <c r="X45" s="20" t="n"/>
      <c r="Y45" s="22" t="n"/>
      <c r="Z45" s="22" t="n"/>
      <c r="AA45" s="20" t="n"/>
      <c r="AB45" s="20" t="n"/>
      <c r="AC45" s="22" t="n"/>
      <c r="AD45" s="23" t="n"/>
      <c r="AE45" s="23" t="n"/>
      <c r="AF45" s="23" t="n"/>
      <c r="AG45" s="24" t="n"/>
      <c r="AH45" s="24" t="n"/>
      <c r="AI45" s="17">
        <f>IF($H45="","",IF($H45&lt;300,"下限未満（対象外）",IF($H45&gt;3000,"上限超（対象外）","範囲内")))</f>
        <v/>
      </c>
      <c r="AJ45" s="15">
        <f>IF(OR($E45="",$F45="",$AG45="",$F45&lt;=0),"",($E45-$AG45)/$F45)</f>
        <v/>
      </c>
      <c r="AK45" s="23" t="n"/>
      <c r="AL45" s="20" t="n"/>
      <c r="AM45" s="21">
        <f>COUNTIF($I45:$T45,"◯")*2+COUNTIF($I45:$T45,"△〜◯")*1.5+COUNTIF($I45:$T45,"△")*1+COUNTIF($I45:$T45,"×〜△")*0.5</f>
        <v/>
      </c>
      <c r="AN45" s="17">
        <f>COUNTIF($I45:$T45,"◯")+COUNTIF($I45:$T45,"△〜◯")+COUNTIF($I45:$T45,"△")+COUNTIF($I45:$T45,"×〜△")+COUNTIF($I45:$T45,"×")</f>
        <v/>
      </c>
      <c r="AO45" s="17">
        <f>COUNTIF($I45:$T45,"×")</f>
        <v/>
      </c>
      <c r="AP45" s="17">
        <f>COUNTIF($I45,"×")+COUNTIF($J45,"×")+COUNTIF($L45,"×")+COUNTIF($O45,"×")</f>
        <v/>
      </c>
    </row>
    <row r="46">
      <c r="A46" s="23" t="n"/>
      <c r="B46" s="23" t="n"/>
      <c r="C46" s="20" t="n"/>
      <c r="D46" s="23" t="n"/>
      <c r="E46" s="24" t="n"/>
      <c r="F46" s="24" t="n"/>
      <c r="G46" s="15">
        <f>IF(OR($E46="",$F46="",$AG46="",$AH46="",$F46&lt;=0),"",($E46-($AG46-$AH46))/$F46)</f>
        <v/>
      </c>
      <c r="H46" s="24" t="n"/>
      <c r="I46" s="25" t="n"/>
      <c r="J46" s="25" t="n"/>
      <c r="K46" s="25" t="n"/>
      <c r="L46" s="25" t="n"/>
      <c r="M46" s="25" t="n"/>
      <c r="N46" s="25" t="n"/>
      <c r="O46" s="25" t="n"/>
      <c r="P46" s="25" t="n"/>
      <c r="Q46" s="25" t="n"/>
      <c r="R46" s="25" t="n"/>
      <c r="S46" s="25" t="n"/>
      <c r="T46" s="25" t="n"/>
      <c r="U46" s="17">
        <f>IF($AN46=0,"",IF($AP46&gt;0,"C：見送り（Must×）",IF($AO46&gt;=2,"C：見送り（×2件以上）",IF($AN46&lt;6,"B：追加情報を取得",IF(AND($AO46=0,$AM46/($AN46*2)&gt;=0.75),"A：進める","B：追加情報を取得")))))</f>
        <v/>
      </c>
      <c r="V46" s="18">
        <f>IF($AN46=0,"",$AM46/($AN46*2))</f>
        <v/>
      </c>
      <c r="W46" s="23" t="n"/>
      <c r="X46" s="20" t="n"/>
      <c r="Y46" s="22" t="n"/>
      <c r="Z46" s="22" t="n"/>
      <c r="AA46" s="20" t="n"/>
      <c r="AB46" s="20" t="n"/>
      <c r="AC46" s="22" t="n"/>
      <c r="AD46" s="23" t="n"/>
      <c r="AE46" s="23" t="n"/>
      <c r="AF46" s="23" t="n"/>
      <c r="AG46" s="24" t="n"/>
      <c r="AH46" s="24" t="n"/>
      <c r="AI46" s="17">
        <f>IF($H46="","",IF($H46&lt;300,"下限未満（対象外）",IF($H46&gt;3000,"上限超（対象外）","範囲内")))</f>
        <v/>
      </c>
      <c r="AJ46" s="15">
        <f>IF(OR($E46="",$F46="",$AG46="",$F46&lt;=0),"",($E46-$AG46)/$F46)</f>
        <v/>
      </c>
      <c r="AK46" s="23" t="n"/>
      <c r="AL46" s="20" t="n"/>
      <c r="AM46" s="21">
        <f>COUNTIF($I46:$T46,"◯")*2+COUNTIF($I46:$T46,"△〜◯")*1.5+COUNTIF($I46:$T46,"△")*1+COUNTIF($I46:$T46,"×〜△")*0.5</f>
        <v/>
      </c>
      <c r="AN46" s="17">
        <f>COUNTIF($I46:$T46,"◯")+COUNTIF($I46:$T46,"△〜◯")+COUNTIF($I46:$T46,"△")+COUNTIF($I46:$T46,"×〜△")+COUNTIF($I46:$T46,"×")</f>
        <v/>
      </c>
      <c r="AO46" s="17">
        <f>COUNTIF($I46:$T46,"×")</f>
        <v/>
      </c>
      <c r="AP46" s="17">
        <f>COUNTIF($I46,"×")+COUNTIF($J46,"×")+COUNTIF($L46,"×")+COUNTIF($O46,"×")</f>
        <v/>
      </c>
    </row>
    <row r="47">
      <c r="A47" s="23" t="n"/>
      <c r="B47" s="23" t="n"/>
      <c r="C47" s="20" t="n"/>
      <c r="D47" s="23" t="n"/>
      <c r="E47" s="24" t="n"/>
      <c r="F47" s="24" t="n"/>
      <c r="G47" s="15">
        <f>IF(OR($E47="",$F47="",$AG47="",$AH47="",$F47&lt;=0),"",($E47-($AG47-$AH47))/$F47)</f>
        <v/>
      </c>
      <c r="H47" s="24" t="n"/>
      <c r="I47" s="25" t="n"/>
      <c r="J47" s="25" t="n"/>
      <c r="K47" s="25" t="n"/>
      <c r="L47" s="25" t="n"/>
      <c r="M47" s="25" t="n"/>
      <c r="N47" s="25" t="n"/>
      <c r="O47" s="25" t="n"/>
      <c r="P47" s="25" t="n"/>
      <c r="Q47" s="25" t="n"/>
      <c r="R47" s="25" t="n"/>
      <c r="S47" s="25" t="n"/>
      <c r="T47" s="25" t="n"/>
      <c r="U47" s="17">
        <f>IF($AN47=0,"",IF($AP47&gt;0,"C：見送り（Must×）",IF($AO47&gt;=2,"C：見送り（×2件以上）",IF($AN47&lt;6,"B：追加情報を取得",IF(AND($AO47=0,$AM47/($AN47*2)&gt;=0.75),"A：進める","B：追加情報を取得")))))</f>
        <v/>
      </c>
      <c r="V47" s="18">
        <f>IF($AN47=0,"",$AM47/($AN47*2))</f>
        <v/>
      </c>
      <c r="W47" s="23" t="n"/>
      <c r="X47" s="20" t="n"/>
      <c r="Y47" s="22" t="n"/>
      <c r="Z47" s="22" t="n"/>
      <c r="AA47" s="20" t="n"/>
      <c r="AB47" s="20" t="n"/>
      <c r="AC47" s="22" t="n"/>
      <c r="AD47" s="23" t="n"/>
      <c r="AE47" s="23" t="n"/>
      <c r="AF47" s="23" t="n"/>
      <c r="AG47" s="24" t="n"/>
      <c r="AH47" s="24" t="n"/>
      <c r="AI47" s="17">
        <f>IF($H47="","",IF($H47&lt;300,"下限未満（対象外）",IF($H47&gt;3000,"上限超（対象外）","範囲内")))</f>
        <v/>
      </c>
      <c r="AJ47" s="15">
        <f>IF(OR($E47="",$F47="",$AG47="",$F47&lt;=0),"",($E47-$AG47)/$F47)</f>
        <v/>
      </c>
      <c r="AK47" s="23" t="n"/>
      <c r="AL47" s="20" t="n"/>
      <c r="AM47" s="21">
        <f>COUNTIF($I47:$T47,"◯")*2+COUNTIF($I47:$T47,"△〜◯")*1.5+COUNTIF($I47:$T47,"△")*1+COUNTIF($I47:$T47,"×〜△")*0.5</f>
        <v/>
      </c>
      <c r="AN47" s="17">
        <f>COUNTIF($I47:$T47,"◯")+COUNTIF($I47:$T47,"△〜◯")+COUNTIF($I47:$T47,"△")+COUNTIF($I47:$T47,"×〜△")+COUNTIF($I47:$T47,"×")</f>
        <v/>
      </c>
      <c r="AO47" s="17">
        <f>COUNTIF($I47:$T47,"×")</f>
        <v/>
      </c>
      <c r="AP47" s="17">
        <f>COUNTIF($I47,"×")+COUNTIF($J47,"×")+COUNTIF($L47,"×")+COUNTIF($O47,"×")</f>
        <v/>
      </c>
    </row>
    <row r="48">
      <c r="A48" s="23" t="n"/>
      <c r="B48" s="23" t="n"/>
      <c r="C48" s="20" t="n"/>
      <c r="D48" s="23" t="n"/>
      <c r="E48" s="24" t="n"/>
      <c r="F48" s="24" t="n"/>
      <c r="G48" s="15">
        <f>IF(OR($E48="",$F48="",$AG48="",$AH48="",$F48&lt;=0),"",($E48-($AG48-$AH48))/$F48)</f>
        <v/>
      </c>
      <c r="H48" s="24" t="n"/>
      <c r="I48" s="25" t="n"/>
      <c r="J48" s="25" t="n"/>
      <c r="K48" s="25" t="n"/>
      <c r="L48" s="25" t="n"/>
      <c r="M48" s="25" t="n"/>
      <c r="N48" s="25" t="n"/>
      <c r="O48" s="25" t="n"/>
      <c r="P48" s="25" t="n"/>
      <c r="Q48" s="25" t="n"/>
      <c r="R48" s="25" t="n"/>
      <c r="S48" s="25" t="n"/>
      <c r="T48" s="25" t="n"/>
      <c r="U48" s="17">
        <f>IF($AN48=0,"",IF($AP48&gt;0,"C：見送り（Must×）",IF($AO48&gt;=2,"C：見送り（×2件以上）",IF($AN48&lt;6,"B：追加情報を取得",IF(AND($AO48=0,$AM48/($AN48*2)&gt;=0.75),"A：進める","B：追加情報を取得")))))</f>
        <v/>
      </c>
      <c r="V48" s="18">
        <f>IF($AN48=0,"",$AM48/($AN48*2))</f>
        <v/>
      </c>
      <c r="W48" s="23" t="n"/>
      <c r="X48" s="20" t="n"/>
      <c r="Y48" s="22" t="n"/>
      <c r="Z48" s="22" t="n"/>
      <c r="AA48" s="20" t="n"/>
      <c r="AB48" s="20" t="n"/>
      <c r="AC48" s="22" t="n"/>
      <c r="AD48" s="23" t="n"/>
      <c r="AE48" s="23" t="n"/>
      <c r="AF48" s="23" t="n"/>
      <c r="AG48" s="24" t="n"/>
      <c r="AH48" s="24" t="n"/>
      <c r="AI48" s="17">
        <f>IF($H48="","",IF($H48&lt;300,"下限未満（対象外）",IF($H48&gt;3000,"上限超（対象外）","範囲内")))</f>
        <v/>
      </c>
      <c r="AJ48" s="15">
        <f>IF(OR($E48="",$F48="",$AG48="",$F48&lt;=0),"",($E48-$AG48)/$F48)</f>
        <v/>
      </c>
      <c r="AK48" s="23" t="n"/>
      <c r="AL48" s="20" t="n"/>
      <c r="AM48" s="21">
        <f>COUNTIF($I48:$T48,"◯")*2+COUNTIF($I48:$T48,"△〜◯")*1.5+COUNTIF($I48:$T48,"△")*1+COUNTIF($I48:$T48,"×〜△")*0.5</f>
        <v/>
      </c>
      <c r="AN48" s="17">
        <f>COUNTIF($I48:$T48,"◯")+COUNTIF($I48:$T48,"△〜◯")+COUNTIF($I48:$T48,"△")+COUNTIF($I48:$T48,"×〜△")+COUNTIF($I48:$T48,"×")</f>
        <v/>
      </c>
      <c r="AO48" s="17">
        <f>COUNTIF($I48:$T48,"×")</f>
        <v/>
      </c>
      <c r="AP48" s="17">
        <f>COUNTIF($I48,"×")+COUNTIF($J48,"×")+COUNTIF($L48,"×")+COUNTIF($O48,"×")</f>
        <v/>
      </c>
    </row>
    <row r="49">
      <c r="A49" s="23" t="n"/>
      <c r="B49" s="23" t="n"/>
      <c r="C49" s="20" t="n"/>
      <c r="D49" s="23" t="n"/>
      <c r="E49" s="24" t="n"/>
      <c r="F49" s="24" t="n"/>
      <c r="G49" s="15">
        <f>IF(OR($E49="",$F49="",$AG49="",$AH49="",$F49&lt;=0),"",($E49-($AG49-$AH49))/$F49)</f>
        <v/>
      </c>
      <c r="H49" s="24" t="n"/>
      <c r="I49" s="25" t="n"/>
      <c r="J49" s="25" t="n"/>
      <c r="K49" s="25" t="n"/>
      <c r="L49" s="25" t="n"/>
      <c r="M49" s="25" t="n"/>
      <c r="N49" s="25" t="n"/>
      <c r="O49" s="25" t="n"/>
      <c r="P49" s="25" t="n"/>
      <c r="Q49" s="25" t="n"/>
      <c r="R49" s="25" t="n"/>
      <c r="S49" s="25" t="n"/>
      <c r="T49" s="25" t="n"/>
      <c r="U49" s="17">
        <f>IF($AN49=0,"",IF($AP49&gt;0,"C：見送り（Must×）",IF($AO49&gt;=2,"C：見送り（×2件以上）",IF($AN49&lt;6,"B：追加情報を取得",IF(AND($AO49=0,$AM49/($AN49*2)&gt;=0.75),"A：進める","B：追加情報を取得")))))</f>
        <v/>
      </c>
      <c r="V49" s="18">
        <f>IF($AN49=0,"",$AM49/($AN49*2))</f>
        <v/>
      </c>
      <c r="W49" s="23" t="n"/>
      <c r="X49" s="20" t="n"/>
      <c r="Y49" s="22" t="n"/>
      <c r="Z49" s="22" t="n"/>
      <c r="AA49" s="20" t="n"/>
      <c r="AB49" s="20" t="n"/>
      <c r="AC49" s="22" t="n"/>
      <c r="AD49" s="23" t="n"/>
      <c r="AE49" s="23" t="n"/>
      <c r="AF49" s="23" t="n"/>
      <c r="AG49" s="24" t="n"/>
      <c r="AH49" s="24" t="n"/>
      <c r="AI49" s="17">
        <f>IF($H49="","",IF($H49&lt;300,"下限未満（対象外）",IF($H49&gt;3000,"上限超（対象外）","範囲内")))</f>
        <v/>
      </c>
      <c r="AJ49" s="15">
        <f>IF(OR($E49="",$F49="",$AG49="",$F49&lt;=0),"",($E49-$AG49)/$F49)</f>
        <v/>
      </c>
      <c r="AK49" s="23" t="n"/>
      <c r="AL49" s="20" t="n"/>
      <c r="AM49" s="21">
        <f>COUNTIF($I49:$T49,"◯")*2+COUNTIF($I49:$T49,"△〜◯")*1.5+COUNTIF($I49:$T49,"△")*1+COUNTIF($I49:$T49,"×〜△")*0.5</f>
        <v/>
      </c>
      <c r="AN49" s="17">
        <f>COUNTIF($I49:$T49,"◯")+COUNTIF($I49:$T49,"△〜◯")+COUNTIF($I49:$T49,"△")+COUNTIF($I49:$T49,"×〜△")+COUNTIF($I49:$T49,"×")</f>
        <v/>
      </c>
      <c r="AO49" s="17">
        <f>COUNTIF($I49:$T49,"×")</f>
        <v/>
      </c>
      <c r="AP49" s="17">
        <f>COUNTIF($I49,"×")+COUNTIF($J49,"×")+COUNTIF($L49,"×")+COUNTIF($O49,"×")</f>
        <v/>
      </c>
    </row>
    <row r="50">
      <c r="A50" s="23" t="n"/>
      <c r="B50" s="23" t="n"/>
      <c r="C50" s="20" t="n"/>
      <c r="D50" s="23" t="n"/>
      <c r="E50" s="24" t="n"/>
      <c r="F50" s="24" t="n"/>
      <c r="G50" s="15">
        <f>IF(OR($E50="",$F50="",$AG50="",$AH50="",$F50&lt;=0),"",($E50-($AG50-$AH50))/$F50)</f>
        <v/>
      </c>
      <c r="H50" s="24" t="n"/>
      <c r="I50" s="25" t="n"/>
      <c r="J50" s="25" t="n"/>
      <c r="K50" s="25" t="n"/>
      <c r="L50" s="25" t="n"/>
      <c r="M50" s="25" t="n"/>
      <c r="N50" s="25" t="n"/>
      <c r="O50" s="25" t="n"/>
      <c r="P50" s="25" t="n"/>
      <c r="Q50" s="25" t="n"/>
      <c r="R50" s="25" t="n"/>
      <c r="S50" s="25" t="n"/>
      <c r="T50" s="25" t="n"/>
      <c r="U50" s="17">
        <f>IF($AN50=0,"",IF($AP50&gt;0,"C：見送り（Must×）",IF($AO50&gt;=2,"C：見送り（×2件以上）",IF($AN50&lt;6,"B：追加情報を取得",IF(AND($AO50=0,$AM50/($AN50*2)&gt;=0.75),"A：進める","B：追加情報を取得")))))</f>
        <v/>
      </c>
      <c r="V50" s="18">
        <f>IF($AN50=0,"",$AM50/($AN50*2))</f>
        <v/>
      </c>
      <c r="W50" s="23" t="n"/>
      <c r="X50" s="20" t="n"/>
      <c r="Y50" s="22" t="n"/>
      <c r="Z50" s="22" t="n"/>
      <c r="AA50" s="20" t="n"/>
      <c r="AB50" s="20" t="n"/>
      <c r="AC50" s="22" t="n"/>
      <c r="AD50" s="23" t="n"/>
      <c r="AE50" s="23" t="n"/>
      <c r="AF50" s="23" t="n"/>
      <c r="AG50" s="24" t="n"/>
      <c r="AH50" s="24" t="n"/>
      <c r="AI50" s="17">
        <f>IF($H50="","",IF($H50&lt;300,"下限未満（対象外）",IF($H50&gt;3000,"上限超（対象外）","範囲内")))</f>
        <v/>
      </c>
      <c r="AJ50" s="15">
        <f>IF(OR($E50="",$F50="",$AG50="",$F50&lt;=0),"",($E50-$AG50)/$F50)</f>
        <v/>
      </c>
      <c r="AK50" s="23" t="n"/>
      <c r="AL50" s="20" t="n"/>
      <c r="AM50" s="21">
        <f>COUNTIF($I50:$T50,"◯")*2+COUNTIF($I50:$T50,"△〜◯")*1.5+COUNTIF($I50:$T50,"△")*1+COUNTIF($I50:$T50,"×〜△")*0.5</f>
        <v/>
      </c>
      <c r="AN50" s="17">
        <f>COUNTIF($I50:$T50,"◯")+COUNTIF($I50:$T50,"△〜◯")+COUNTIF($I50:$T50,"△")+COUNTIF($I50:$T50,"×〜△")+COUNTIF($I50:$T50,"×")</f>
        <v/>
      </c>
      <c r="AO50" s="17">
        <f>COUNTIF($I50:$T50,"×")</f>
        <v/>
      </c>
      <c r="AP50" s="17">
        <f>COUNTIF($I50,"×")+COUNTIF($J50,"×")+COUNTIF($L50,"×")+COUNTIF($O50,"×")</f>
        <v/>
      </c>
    </row>
    <row r="51">
      <c r="A51" s="23" t="n"/>
      <c r="B51" s="23" t="n"/>
      <c r="C51" s="20" t="n"/>
      <c r="D51" s="23" t="n"/>
      <c r="E51" s="24" t="n"/>
      <c r="F51" s="24" t="n"/>
      <c r="G51" s="15">
        <f>IF(OR($E51="",$F51="",$AG51="",$AH51="",$F51&lt;=0),"",($E51-($AG51-$AH51))/$F51)</f>
        <v/>
      </c>
      <c r="H51" s="24" t="n"/>
      <c r="I51" s="25" t="n"/>
      <c r="J51" s="25" t="n"/>
      <c r="K51" s="25" t="n"/>
      <c r="L51" s="25" t="n"/>
      <c r="M51" s="25" t="n"/>
      <c r="N51" s="25" t="n"/>
      <c r="O51" s="25" t="n"/>
      <c r="P51" s="25" t="n"/>
      <c r="Q51" s="25" t="n"/>
      <c r="R51" s="25" t="n"/>
      <c r="S51" s="25" t="n"/>
      <c r="T51" s="25" t="n"/>
      <c r="U51" s="17">
        <f>IF($AN51=0,"",IF($AP51&gt;0,"C：見送り（Must×）",IF($AO51&gt;=2,"C：見送り（×2件以上）",IF($AN51&lt;6,"B：追加情報を取得",IF(AND($AO51=0,$AM51/($AN51*2)&gt;=0.75),"A：進める","B：追加情報を取得")))))</f>
        <v/>
      </c>
      <c r="V51" s="18">
        <f>IF($AN51=0,"",$AM51/($AN51*2))</f>
        <v/>
      </c>
      <c r="W51" s="23" t="n"/>
      <c r="X51" s="20" t="n"/>
      <c r="Y51" s="22" t="n"/>
      <c r="Z51" s="22" t="n"/>
      <c r="AA51" s="20" t="n"/>
      <c r="AB51" s="20" t="n"/>
      <c r="AC51" s="22" t="n"/>
      <c r="AD51" s="23" t="n"/>
      <c r="AE51" s="23" t="n"/>
      <c r="AF51" s="23" t="n"/>
      <c r="AG51" s="24" t="n"/>
      <c r="AH51" s="24" t="n"/>
      <c r="AI51" s="17">
        <f>IF($H51="","",IF($H51&lt;300,"下限未満（対象外）",IF($H51&gt;3000,"上限超（対象外）","範囲内")))</f>
        <v/>
      </c>
      <c r="AJ51" s="15">
        <f>IF(OR($E51="",$F51="",$AG51="",$F51&lt;=0),"",($E51-$AG51)/$F51)</f>
        <v/>
      </c>
      <c r="AK51" s="23" t="n"/>
      <c r="AL51" s="20" t="n"/>
      <c r="AM51" s="21">
        <f>COUNTIF($I51:$T51,"◯")*2+COUNTIF($I51:$T51,"△〜◯")*1.5+COUNTIF($I51:$T51,"△")*1+COUNTIF($I51:$T51,"×〜△")*0.5</f>
        <v/>
      </c>
      <c r="AN51" s="17">
        <f>COUNTIF($I51:$T51,"◯")+COUNTIF($I51:$T51,"△〜◯")+COUNTIF($I51:$T51,"△")+COUNTIF($I51:$T51,"×〜△")+COUNTIF($I51:$T51,"×")</f>
        <v/>
      </c>
      <c r="AO51" s="17">
        <f>COUNTIF($I51:$T51,"×")</f>
        <v/>
      </c>
      <c r="AP51" s="17">
        <f>COUNTIF($I51,"×")+COUNTIF($J51,"×")+COUNTIF($L51,"×")+COUNTIF($O51,"×")</f>
        <v/>
      </c>
    </row>
    <row r="52">
      <c r="A52" s="23" t="n"/>
      <c r="B52" s="23" t="n"/>
      <c r="C52" s="20" t="n"/>
      <c r="D52" s="23" t="n"/>
      <c r="E52" s="24" t="n"/>
      <c r="F52" s="24" t="n"/>
      <c r="G52" s="15">
        <f>IF(OR($E52="",$F52="",$AG52="",$AH52="",$F52&lt;=0),"",($E52-($AG52-$AH52))/$F52)</f>
        <v/>
      </c>
      <c r="H52" s="24" t="n"/>
      <c r="I52" s="25" t="n"/>
      <c r="J52" s="25" t="n"/>
      <c r="K52" s="25" t="n"/>
      <c r="L52" s="25" t="n"/>
      <c r="M52" s="25" t="n"/>
      <c r="N52" s="25" t="n"/>
      <c r="O52" s="25" t="n"/>
      <c r="P52" s="25" t="n"/>
      <c r="Q52" s="25" t="n"/>
      <c r="R52" s="25" t="n"/>
      <c r="S52" s="25" t="n"/>
      <c r="T52" s="25" t="n"/>
      <c r="U52" s="17">
        <f>IF($AN52=0,"",IF($AP52&gt;0,"C：見送り（Must×）",IF($AO52&gt;=2,"C：見送り（×2件以上）",IF($AN52&lt;6,"B：追加情報を取得",IF(AND($AO52=0,$AM52/($AN52*2)&gt;=0.75),"A：進める","B：追加情報を取得")))))</f>
        <v/>
      </c>
      <c r="V52" s="18">
        <f>IF($AN52=0,"",$AM52/($AN52*2))</f>
        <v/>
      </c>
      <c r="W52" s="23" t="n"/>
      <c r="X52" s="20" t="n"/>
      <c r="Y52" s="22" t="n"/>
      <c r="Z52" s="22" t="n"/>
      <c r="AA52" s="20" t="n"/>
      <c r="AB52" s="20" t="n"/>
      <c r="AC52" s="22" t="n"/>
      <c r="AD52" s="23" t="n"/>
      <c r="AE52" s="23" t="n"/>
      <c r="AF52" s="23" t="n"/>
      <c r="AG52" s="24" t="n"/>
      <c r="AH52" s="24" t="n"/>
      <c r="AI52" s="17">
        <f>IF($H52="","",IF($H52&lt;300,"下限未満（対象外）",IF($H52&gt;3000,"上限超（対象外）","範囲内")))</f>
        <v/>
      </c>
      <c r="AJ52" s="15">
        <f>IF(OR($E52="",$F52="",$AG52="",$F52&lt;=0),"",($E52-$AG52)/$F52)</f>
        <v/>
      </c>
      <c r="AK52" s="23" t="n"/>
      <c r="AL52" s="20" t="n"/>
      <c r="AM52" s="21">
        <f>COUNTIF($I52:$T52,"◯")*2+COUNTIF($I52:$T52,"△〜◯")*1.5+COUNTIF($I52:$T52,"△")*1+COUNTIF($I52:$T52,"×〜△")*0.5</f>
        <v/>
      </c>
      <c r="AN52" s="17">
        <f>COUNTIF($I52:$T52,"◯")+COUNTIF($I52:$T52,"△〜◯")+COUNTIF($I52:$T52,"△")+COUNTIF($I52:$T52,"×〜△")+COUNTIF($I52:$T52,"×")</f>
        <v/>
      </c>
      <c r="AO52" s="17">
        <f>COUNTIF($I52:$T52,"×")</f>
        <v/>
      </c>
      <c r="AP52" s="17">
        <f>COUNTIF($I52,"×")+COUNTIF($J52,"×")+COUNTIF($L52,"×")+COUNTIF($O52,"×")</f>
        <v/>
      </c>
    </row>
    <row r="53">
      <c r="A53" s="23" t="n"/>
      <c r="B53" s="23" t="n"/>
      <c r="C53" s="20" t="n"/>
      <c r="D53" s="23" t="n"/>
      <c r="E53" s="24" t="n"/>
      <c r="F53" s="24" t="n"/>
      <c r="G53" s="15">
        <f>IF(OR($E53="",$F53="",$AG53="",$AH53="",$F53&lt;=0),"",($E53-($AG53-$AH53))/$F53)</f>
        <v/>
      </c>
      <c r="H53" s="24" t="n"/>
      <c r="I53" s="25" t="n"/>
      <c r="J53" s="25" t="n"/>
      <c r="K53" s="25" t="n"/>
      <c r="L53" s="25" t="n"/>
      <c r="M53" s="25" t="n"/>
      <c r="N53" s="25" t="n"/>
      <c r="O53" s="25" t="n"/>
      <c r="P53" s="25" t="n"/>
      <c r="Q53" s="25" t="n"/>
      <c r="R53" s="25" t="n"/>
      <c r="S53" s="25" t="n"/>
      <c r="T53" s="25" t="n"/>
      <c r="U53" s="17">
        <f>IF($AN53=0,"",IF($AP53&gt;0,"C：見送り（Must×）",IF($AO53&gt;=2,"C：見送り（×2件以上）",IF($AN53&lt;6,"B：追加情報を取得",IF(AND($AO53=0,$AM53/($AN53*2)&gt;=0.75),"A：進める","B：追加情報を取得")))))</f>
        <v/>
      </c>
      <c r="V53" s="18">
        <f>IF($AN53=0,"",$AM53/($AN53*2))</f>
        <v/>
      </c>
      <c r="W53" s="23" t="n"/>
      <c r="X53" s="20" t="n"/>
      <c r="Y53" s="22" t="n"/>
      <c r="Z53" s="22" t="n"/>
      <c r="AA53" s="20" t="n"/>
      <c r="AB53" s="20" t="n"/>
      <c r="AC53" s="22" t="n"/>
      <c r="AD53" s="23" t="n"/>
      <c r="AE53" s="23" t="n"/>
      <c r="AF53" s="23" t="n"/>
      <c r="AG53" s="24" t="n"/>
      <c r="AH53" s="24" t="n"/>
      <c r="AI53" s="17">
        <f>IF($H53="","",IF($H53&lt;300,"下限未満（対象外）",IF($H53&gt;3000,"上限超（対象外）","範囲内")))</f>
        <v/>
      </c>
      <c r="AJ53" s="15">
        <f>IF(OR($E53="",$F53="",$AG53="",$F53&lt;=0),"",($E53-$AG53)/$F53)</f>
        <v/>
      </c>
      <c r="AK53" s="23" t="n"/>
      <c r="AL53" s="20" t="n"/>
      <c r="AM53" s="21">
        <f>COUNTIF($I53:$T53,"◯")*2+COUNTIF($I53:$T53,"△〜◯")*1.5+COUNTIF($I53:$T53,"△")*1+COUNTIF($I53:$T53,"×〜△")*0.5</f>
        <v/>
      </c>
      <c r="AN53" s="17">
        <f>COUNTIF($I53:$T53,"◯")+COUNTIF($I53:$T53,"△〜◯")+COUNTIF($I53:$T53,"△")+COUNTIF($I53:$T53,"×〜△")+COUNTIF($I53:$T53,"×")</f>
        <v/>
      </c>
      <c r="AO53" s="17">
        <f>COUNTIF($I53:$T53,"×")</f>
        <v/>
      </c>
      <c r="AP53" s="17">
        <f>COUNTIF($I53,"×")+COUNTIF($J53,"×")+COUNTIF($L53,"×")+COUNTIF($O53,"×")</f>
        <v/>
      </c>
    </row>
    <row r="54">
      <c r="A54" s="23" t="n"/>
      <c r="B54" s="23" t="n"/>
      <c r="C54" s="20" t="n"/>
      <c r="D54" s="23" t="n"/>
      <c r="E54" s="24" t="n"/>
      <c r="F54" s="24" t="n"/>
      <c r="G54" s="15">
        <f>IF(OR($E54="",$F54="",$AG54="",$AH54="",$F54&lt;=0),"",($E54-($AG54-$AH54))/$F54)</f>
        <v/>
      </c>
      <c r="H54" s="24" t="n"/>
      <c r="I54" s="25" t="n"/>
      <c r="J54" s="25" t="n"/>
      <c r="K54" s="25" t="n"/>
      <c r="L54" s="25" t="n"/>
      <c r="M54" s="25" t="n"/>
      <c r="N54" s="25" t="n"/>
      <c r="O54" s="25" t="n"/>
      <c r="P54" s="25" t="n"/>
      <c r="Q54" s="25" t="n"/>
      <c r="R54" s="25" t="n"/>
      <c r="S54" s="25" t="n"/>
      <c r="T54" s="25" t="n"/>
      <c r="U54" s="17">
        <f>IF($AN54=0,"",IF($AP54&gt;0,"C：見送り（Must×）",IF($AO54&gt;=2,"C：見送り（×2件以上）",IF($AN54&lt;6,"B：追加情報を取得",IF(AND($AO54=0,$AM54/($AN54*2)&gt;=0.75),"A：進める","B：追加情報を取得")))))</f>
        <v/>
      </c>
      <c r="V54" s="18">
        <f>IF($AN54=0,"",$AM54/($AN54*2))</f>
        <v/>
      </c>
      <c r="W54" s="23" t="n"/>
      <c r="X54" s="20" t="n"/>
      <c r="Y54" s="22" t="n"/>
      <c r="Z54" s="22" t="n"/>
      <c r="AA54" s="20" t="n"/>
      <c r="AB54" s="20" t="n"/>
      <c r="AC54" s="22" t="n"/>
      <c r="AD54" s="23" t="n"/>
      <c r="AE54" s="23" t="n"/>
      <c r="AF54" s="23" t="n"/>
      <c r="AG54" s="24" t="n"/>
      <c r="AH54" s="24" t="n"/>
      <c r="AI54" s="17">
        <f>IF($H54="","",IF($H54&lt;300,"下限未満（対象外）",IF($H54&gt;3000,"上限超（対象外）","範囲内")))</f>
        <v/>
      </c>
      <c r="AJ54" s="15">
        <f>IF(OR($E54="",$F54="",$AG54="",$F54&lt;=0),"",($E54-$AG54)/$F54)</f>
        <v/>
      </c>
      <c r="AK54" s="23" t="n"/>
      <c r="AL54" s="20" t="n"/>
      <c r="AM54" s="21">
        <f>COUNTIF($I54:$T54,"◯")*2+COUNTIF($I54:$T54,"△〜◯")*1.5+COUNTIF($I54:$T54,"△")*1+COUNTIF($I54:$T54,"×〜△")*0.5</f>
        <v/>
      </c>
      <c r="AN54" s="17">
        <f>COUNTIF($I54:$T54,"◯")+COUNTIF($I54:$T54,"△〜◯")+COUNTIF($I54:$T54,"△")+COUNTIF($I54:$T54,"×〜△")+COUNTIF($I54:$T54,"×")</f>
        <v/>
      </c>
      <c r="AO54" s="17">
        <f>COUNTIF($I54:$T54,"×")</f>
        <v/>
      </c>
      <c r="AP54" s="17">
        <f>COUNTIF($I54,"×")+COUNTIF($J54,"×")+COUNTIF($L54,"×")+COUNTIF($O54,"×")</f>
        <v/>
      </c>
    </row>
    <row r="55">
      <c r="A55" s="23" t="n"/>
      <c r="B55" s="23" t="n"/>
      <c r="C55" s="20" t="n"/>
      <c r="D55" s="23" t="n"/>
      <c r="E55" s="24" t="n"/>
      <c r="F55" s="24" t="n"/>
      <c r="G55" s="15">
        <f>IF(OR($E55="",$F55="",$AG55="",$AH55="",$F55&lt;=0),"",($E55-($AG55-$AH55))/$F55)</f>
        <v/>
      </c>
      <c r="H55" s="24" t="n"/>
      <c r="I55" s="25" t="n"/>
      <c r="J55" s="25" t="n"/>
      <c r="K55" s="25" t="n"/>
      <c r="L55" s="25" t="n"/>
      <c r="M55" s="25" t="n"/>
      <c r="N55" s="25" t="n"/>
      <c r="O55" s="25" t="n"/>
      <c r="P55" s="25" t="n"/>
      <c r="Q55" s="25" t="n"/>
      <c r="R55" s="25" t="n"/>
      <c r="S55" s="25" t="n"/>
      <c r="T55" s="25" t="n"/>
      <c r="U55" s="17">
        <f>IF($AN55=0,"",IF($AP55&gt;0,"C：見送り（Must×）",IF($AO55&gt;=2,"C：見送り（×2件以上）",IF($AN55&lt;6,"B：追加情報を取得",IF(AND($AO55=0,$AM55/($AN55*2)&gt;=0.75),"A：進める","B：追加情報を取得")))))</f>
        <v/>
      </c>
      <c r="V55" s="18">
        <f>IF($AN55=0,"",$AM55/($AN55*2))</f>
        <v/>
      </c>
      <c r="W55" s="23" t="n"/>
      <c r="X55" s="20" t="n"/>
      <c r="Y55" s="22" t="n"/>
      <c r="Z55" s="22" t="n"/>
      <c r="AA55" s="20" t="n"/>
      <c r="AB55" s="20" t="n"/>
      <c r="AC55" s="22" t="n"/>
      <c r="AD55" s="23" t="n"/>
      <c r="AE55" s="23" t="n"/>
      <c r="AF55" s="23" t="n"/>
      <c r="AG55" s="24" t="n"/>
      <c r="AH55" s="24" t="n"/>
      <c r="AI55" s="17">
        <f>IF($H55="","",IF($H55&lt;300,"下限未満（対象外）",IF($H55&gt;3000,"上限超（対象外）","範囲内")))</f>
        <v/>
      </c>
      <c r="AJ55" s="15">
        <f>IF(OR($E55="",$F55="",$AG55="",$F55&lt;=0),"",($E55-$AG55)/$F55)</f>
        <v/>
      </c>
      <c r="AK55" s="23" t="n"/>
      <c r="AL55" s="20" t="n"/>
      <c r="AM55" s="21">
        <f>COUNTIF($I55:$T55,"◯")*2+COUNTIF($I55:$T55,"△〜◯")*1.5+COUNTIF($I55:$T55,"△")*1+COUNTIF($I55:$T55,"×〜△")*0.5</f>
        <v/>
      </c>
      <c r="AN55" s="17">
        <f>COUNTIF($I55:$T55,"◯")+COUNTIF($I55:$T55,"△〜◯")+COUNTIF($I55:$T55,"△")+COUNTIF($I55:$T55,"×〜△")+COUNTIF($I55:$T55,"×")</f>
        <v/>
      </c>
      <c r="AO55" s="17">
        <f>COUNTIF($I55:$T55,"×")</f>
        <v/>
      </c>
      <c r="AP55" s="17">
        <f>COUNTIF($I55,"×")+COUNTIF($J55,"×")+COUNTIF($L55,"×")+COUNTIF($O55,"×")</f>
        <v/>
      </c>
    </row>
    <row r="56">
      <c r="A56" s="23" t="n"/>
      <c r="B56" s="23" t="n"/>
      <c r="C56" s="20" t="n"/>
      <c r="D56" s="23" t="n"/>
      <c r="E56" s="24" t="n"/>
      <c r="F56" s="24" t="n"/>
      <c r="G56" s="15">
        <f>IF(OR($E56="",$F56="",$AG56="",$AH56="",$F56&lt;=0),"",($E56-($AG56-$AH56))/$F56)</f>
        <v/>
      </c>
      <c r="H56" s="24" t="n"/>
      <c r="I56" s="25" t="n"/>
      <c r="J56" s="25" t="n"/>
      <c r="K56" s="25" t="n"/>
      <c r="L56" s="25" t="n"/>
      <c r="M56" s="25" t="n"/>
      <c r="N56" s="25" t="n"/>
      <c r="O56" s="25" t="n"/>
      <c r="P56" s="25" t="n"/>
      <c r="Q56" s="25" t="n"/>
      <c r="R56" s="25" t="n"/>
      <c r="S56" s="25" t="n"/>
      <c r="T56" s="25" t="n"/>
      <c r="U56" s="17">
        <f>IF($AN56=0,"",IF($AP56&gt;0,"C：見送り（Must×）",IF($AO56&gt;=2,"C：見送り（×2件以上）",IF($AN56&lt;6,"B：追加情報を取得",IF(AND($AO56=0,$AM56/($AN56*2)&gt;=0.75),"A：進める","B：追加情報を取得")))))</f>
        <v/>
      </c>
      <c r="V56" s="18">
        <f>IF($AN56=0,"",$AM56/($AN56*2))</f>
        <v/>
      </c>
      <c r="W56" s="23" t="n"/>
      <c r="X56" s="20" t="n"/>
      <c r="Y56" s="22" t="n"/>
      <c r="Z56" s="22" t="n"/>
      <c r="AA56" s="20" t="n"/>
      <c r="AB56" s="20" t="n"/>
      <c r="AC56" s="22" t="n"/>
      <c r="AD56" s="23" t="n"/>
      <c r="AE56" s="23" t="n"/>
      <c r="AF56" s="23" t="n"/>
      <c r="AG56" s="24" t="n"/>
      <c r="AH56" s="24" t="n"/>
      <c r="AI56" s="17">
        <f>IF($H56="","",IF($H56&lt;300,"下限未満（対象外）",IF($H56&gt;3000,"上限超（対象外）","範囲内")))</f>
        <v/>
      </c>
      <c r="AJ56" s="15">
        <f>IF(OR($E56="",$F56="",$AG56="",$F56&lt;=0),"",($E56-$AG56)/$F56)</f>
        <v/>
      </c>
      <c r="AK56" s="23" t="n"/>
      <c r="AL56" s="20" t="n"/>
      <c r="AM56" s="21">
        <f>COUNTIF($I56:$T56,"◯")*2+COUNTIF($I56:$T56,"△〜◯")*1.5+COUNTIF($I56:$T56,"△")*1+COUNTIF($I56:$T56,"×〜△")*0.5</f>
        <v/>
      </c>
      <c r="AN56" s="17">
        <f>COUNTIF($I56:$T56,"◯")+COUNTIF($I56:$T56,"△〜◯")+COUNTIF($I56:$T56,"△")+COUNTIF($I56:$T56,"×〜△")+COUNTIF($I56:$T56,"×")</f>
        <v/>
      </c>
      <c r="AO56" s="17">
        <f>COUNTIF($I56:$T56,"×")</f>
        <v/>
      </c>
      <c r="AP56" s="17">
        <f>COUNTIF($I56,"×")+COUNTIF($J56,"×")+COUNTIF($L56,"×")+COUNTIF($O56,"×")</f>
        <v/>
      </c>
    </row>
    <row r="57">
      <c r="A57" s="23" t="n"/>
      <c r="B57" s="23" t="n"/>
      <c r="C57" s="20" t="n"/>
      <c r="D57" s="23" t="n"/>
      <c r="E57" s="24" t="n"/>
      <c r="F57" s="24" t="n"/>
      <c r="G57" s="15">
        <f>IF(OR($E57="",$F57="",$AG57="",$AH57="",$F57&lt;=0),"",($E57-($AG57-$AH57))/$F57)</f>
        <v/>
      </c>
      <c r="H57" s="24" t="n"/>
      <c r="I57" s="25" t="n"/>
      <c r="J57" s="25" t="n"/>
      <c r="K57" s="25" t="n"/>
      <c r="L57" s="25" t="n"/>
      <c r="M57" s="25" t="n"/>
      <c r="N57" s="25" t="n"/>
      <c r="O57" s="25" t="n"/>
      <c r="P57" s="25" t="n"/>
      <c r="Q57" s="25" t="n"/>
      <c r="R57" s="25" t="n"/>
      <c r="S57" s="25" t="n"/>
      <c r="T57" s="25" t="n"/>
      <c r="U57" s="17">
        <f>IF($AN57=0,"",IF($AP57&gt;0,"C：見送り（Must×）",IF($AO57&gt;=2,"C：見送り（×2件以上）",IF($AN57&lt;6,"B：追加情報を取得",IF(AND($AO57=0,$AM57/($AN57*2)&gt;=0.75),"A：進める","B：追加情報を取得")))))</f>
        <v/>
      </c>
      <c r="V57" s="18">
        <f>IF($AN57=0,"",$AM57/($AN57*2))</f>
        <v/>
      </c>
      <c r="W57" s="23" t="n"/>
      <c r="X57" s="20" t="n"/>
      <c r="Y57" s="22" t="n"/>
      <c r="Z57" s="22" t="n"/>
      <c r="AA57" s="20" t="n"/>
      <c r="AB57" s="20" t="n"/>
      <c r="AC57" s="22" t="n"/>
      <c r="AD57" s="23" t="n"/>
      <c r="AE57" s="23" t="n"/>
      <c r="AF57" s="23" t="n"/>
      <c r="AG57" s="24" t="n"/>
      <c r="AH57" s="24" t="n"/>
      <c r="AI57" s="17">
        <f>IF($H57="","",IF($H57&lt;300,"下限未満（対象外）",IF($H57&gt;3000,"上限超（対象外）","範囲内")))</f>
        <v/>
      </c>
      <c r="AJ57" s="15">
        <f>IF(OR($E57="",$F57="",$AG57="",$F57&lt;=0),"",($E57-$AG57)/$F57)</f>
        <v/>
      </c>
      <c r="AK57" s="23" t="n"/>
      <c r="AL57" s="20" t="n"/>
      <c r="AM57" s="21">
        <f>COUNTIF($I57:$T57,"◯")*2+COUNTIF($I57:$T57,"△〜◯")*1.5+COUNTIF($I57:$T57,"△")*1+COUNTIF($I57:$T57,"×〜△")*0.5</f>
        <v/>
      </c>
      <c r="AN57" s="17">
        <f>COUNTIF($I57:$T57,"◯")+COUNTIF($I57:$T57,"△〜◯")+COUNTIF($I57:$T57,"△")+COUNTIF($I57:$T57,"×〜△")+COUNTIF($I57:$T57,"×")</f>
        <v/>
      </c>
      <c r="AO57" s="17">
        <f>COUNTIF($I57:$T57,"×")</f>
        <v/>
      </c>
      <c r="AP57" s="17">
        <f>COUNTIF($I57,"×")+COUNTIF($J57,"×")+COUNTIF($L57,"×")+COUNTIF($O57,"×")</f>
        <v/>
      </c>
    </row>
    <row r="58">
      <c r="A58" s="23" t="n"/>
      <c r="B58" s="23" t="n"/>
      <c r="C58" s="20" t="n"/>
      <c r="D58" s="23" t="n"/>
      <c r="E58" s="24" t="n"/>
      <c r="F58" s="24" t="n"/>
      <c r="G58" s="15">
        <f>IF(OR($E58="",$F58="",$AG58="",$AH58="",$F58&lt;=0),"",($E58-($AG58-$AH58))/$F58)</f>
        <v/>
      </c>
      <c r="H58" s="24" t="n"/>
      <c r="I58" s="25" t="n"/>
      <c r="J58" s="25" t="n"/>
      <c r="K58" s="25" t="n"/>
      <c r="L58" s="25" t="n"/>
      <c r="M58" s="25" t="n"/>
      <c r="N58" s="25" t="n"/>
      <c r="O58" s="25" t="n"/>
      <c r="P58" s="25" t="n"/>
      <c r="Q58" s="25" t="n"/>
      <c r="R58" s="25" t="n"/>
      <c r="S58" s="25" t="n"/>
      <c r="T58" s="25" t="n"/>
      <c r="U58" s="17">
        <f>IF($AN58=0,"",IF($AP58&gt;0,"C：見送り（Must×）",IF($AO58&gt;=2,"C：見送り（×2件以上）",IF($AN58&lt;6,"B：追加情報を取得",IF(AND($AO58=0,$AM58/($AN58*2)&gt;=0.75),"A：進める","B：追加情報を取得")))))</f>
        <v/>
      </c>
      <c r="V58" s="18">
        <f>IF($AN58=0,"",$AM58/($AN58*2))</f>
        <v/>
      </c>
      <c r="W58" s="23" t="n"/>
      <c r="X58" s="20" t="n"/>
      <c r="Y58" s="22" t="n"/>
      <c r="Z58" s="22" t="n"/>
      <c r="AA58" s="20" t="n"/>
      <c r="AB58" s="20" t="n"/>
      <c r="AC58" s="22" t="n"/>
      <c r="AD58" s="23" t="n"/>
      <c r="AE58" s="23" t="n"/>
      <c r="AF58" s="23" t="n"/>
      <c r="AG58" s="24" t="n"/>
      <c r="AH58" s="24" t="n"/>
      <c r="AI58" s="17">
        <f>IF($H58="","",IF($H58&lt;300,"下限未満（対象外）",IF($H58&gt;3000,"上限超（対象外）","範囲内")))</f>
        <v/>
      </c>
      <c r="AJ58" s="15">
        <f>IF(OR($E58="",$F58="",$AG58="",$F58&lt;=0),"",($E58-$AG58)/$F58)</f>
        <v/>
      </c>
      <c r="AK58" s="23" t="n"/>
      <c r="AL58" s="20" t="n"/>
      <c r="AM58" s="21">
        <f>COUNTIF($I58:$T58,"◯")*2+COUNTIF($I58:$T58,"△〜◯")*1.5+COUNTIF($I58:$T58,"△")*1+COUNTIF($I58:$T58,"×〜△")*0.5</f>
        <v/>
      </c>
      <c r="AN58" s="17">
        <f>COUNTIF($I58:$T58,"◯")+COUNTIF($I58:$T58,"△〜◯")+COUNTIF($I58:$T58,"△")+COUNTIF($I58:$T58,"×〜△")+COUNTIF($I58:$T58,"×")</f>
        <v/>
      </c>
      <c r="AO58" s="17">
        <f>COUNTIF($I58:$T58,"×")</f>
        <v/>
      </c>
      <c r="AP58" s="17">
        <f>COUNTIF($I58,"×")+COUNTIF($J58,"×")+COUNTIF($L58,"×")+COUNTIF($O58,"×")</f>
        <v/>
      </c>
    </row>
    <row r="59">
      <c r="A59" s="23" t="n"/>
      <c r="B59" s="23" t="n"/>
      <c r="C59" s="20" t="n"/>
      <c r="D59" s="23" t="n"/>
      <c r="E59" s="24" t="n"/>
      <c r="F59" s="24" t="n"/>
      <c r="G59" s="15">
        <f>IF(OR($E59="",$F59="",$AG59="",$AH59="",$F59&lt;=0),"",($E59-($AG59-$AH59))/$F59)</f>
        <v/>
      </c>
      <c r="H59" s="24" t="n"/>
      <c r="I59" s="25" t="n"/>
      <c r="J59" s="25" t="n"/>
      <c r="K59" s="25" t="n"/>
      <c r="L59" s="25" t="n"/>
      <c r="M59" s="25" t="n"/>
      <c r="N59" s="25" t="n"/>
      <c r="O59" s="25" t="n"/>
      <c r="P59" s="25" t="n"/>
      <c r="Q59" s="25" t="n"/>
      <c r="R59" s="25" t="n"/>
      <c r="S59" s="25" t="n"/>
      <c r="T59" s="25" t="n"/>
      <c r="U59" s="17">
        <f>IF($AN59=0,"",IF($AP59&gt;0,"C：見送り（Must×）",IF($AO59&gt;=2,"C：見送り（×2件以上）",IF($AN59&lt;6,"B：追加情報を取得",IF(AND($AO59=0,$AM59/($AN59*2)&gt;=0.75),"A：進める","B：追加情報を取得")))))</f>
        <v/>
      </c>
      <c r="V59" s="18">
        <f>IF($AN59=0,"",$AM59/($AN59*2))</f>
        <v/>
      </c>
      <c r="W59" s="23" t="n"/>
      <c r="X59" s="20" t="n"/>
      <c r="Y59" s="22" t="n"/>
      <c r="Z59" s="22" t="n"/>
      <c r="AA59" s="20" t="n"/>
      <c r="AB59" s="20" t="n"/>
      <c r="AC59" s="22" t="n"/>
      <c r="AD59" s="23" t="n"/>
      <c r="AE59" s="23" t="n"/>
      <c r="AF59" s="23" t="n"/>
      <c r="AG59" s="24" t="n"/>
      <c r="AH59" s="24" t="n"/>
      <c r="AI59" s="17">
        <f>IF($H59="","",IF($H59&lt;300,"下限未満（対象外）",IF($H59&gt;3000,"上限超（対象外）","範囲内")))</f>
        <v/>
      </c>
      <c r="AJ59" s="15">
        <f>IF(OR($E59="",$F59="",$AG59="",$F59&lt;=0),"",($E59-$AG59)/$F59)</f>
        <v/>
      </c>
      <c r="AK59" s="23" t="n"/>
      <c r="AL59" s="20" t="n"/>
      <c r="AM59" s="21">
        <f>COUNTIF($I59:$T59,"◯")*2+COUNTIF($I59:$T59,"△〜◯")*1.5+COUNTIF($I59:$T59,"△")*1+COUNTIF($I59:$T59,"×〜△")*0.5</f>
        <v/>
      </c>
      <c r="AN59" s="17">
        <f>COUNTIF($I59:$T59,"◯")+COUNTIF($I59:$T59,"△〜◯")+COUNTIF($I59:$T59,"△")+COUNTIF($I59:$T59,"×〜△")+COUNTIF($I59:$T59,"×")</f>
        <v/>
      </c>
      <c r="AO59" s="17">
        <f>COUNTIF($I59:$T59,"×")</f>
        <v/>
      </c>
      <c r="AP59" s="17">
        <f>COUNTIF($I59,"×")+COUNTIF($J59,"×")+COUNTIF($L59,"×")+COUNTIF($O59,"×")</f>
        <v/>
      </c>
    </row>
    <row r="60">
      <c r="A60" s="23" t="n"/>
      <c r="B60" s="23" t="n"/>
      <c r="C60" s="20" t="n"/>
      <c r="D60" s="23" t="n"/>
      <c r="E60" s="24" t="n"/>
      <c r="F60" s="24" t="n"/>
      <c r="G60" s="15">
        <f>IF(OR($E60="",$F60="",$AG60="",$AH60="",$F60&lt;=0),"",($E60-($AG60-$AH60))/$F60)</f>
        <v/>
      </c>
      <c r="H60" s="24" t="n"/>
      <c r="I60" s="25" t="n"/>
      <c r="J60" s="25" t="n"/>
      <c r="K60" s="25" t="n"/>
      <c r="L60" s="25" t="n"/>
      <c r="M60" s="25" t="n"/>
      <c r="N60" s="25" t="n"/>
      <c r="O60" s="25" t="n"/>
      <c r="P60" s="25" t="n"/>
      <c r="Q60" s="25" t="n"/>
      <c r="R60" s="25" t="n"/>
      <c r="S60" s="25" t="n"/>
      <c r="T60" s="25" t="n"/>
      <c r="U60" s="17">
        <f>IF($AN60=0,"",IF($AP60&gt;0,"C：見送り（Must×）",IF($AO60&gt;=2,"C：見送り（×2件以上）",IF($AN60&lt;6,"B：追加情報を取得",IF(AND($AO60=0,$AM60/($AN60*2)&gt;=0.75),"A：進める","B：追加情報を取得")))))</f>
        <v/>
      </c>
      <c r="V60" s="18">
        <f>IF($AN60=0,"",$AM60/($AN60*2))</f>
        <v/>
      </c>
      <c r="W60" s="23" t="n"/>
      <c r="X60" s="20" t="n"/>
      <c r="Y60" s="22" t="n"/>
      <c r="Z60" s="22" t="n"/>
      <c r="AA60" s="20" t="n"/>
      <c r="AB60" s="20" t="n"/>
      <c r="AC60" s="22" t="n"/>
      <c r="AD60" s="23" t="n"/>
      <c r="AE60" s="23" t="n"/>
      <c r="AF60" s="23" t="n"/>
      <c r="AG60" s="24" t="n"/>
      <c r="AH60" s="24" t="n"/>
      <c r="AI60" s="17">
        <f>IF($H60="","",IF($H60&lt;300,"下限未満（対象外）",IF($H60&gt;3000,"上限超（対象外）","範囲内")))</f>
        <v/>
      </c>
      <c r="AJ60" s="15">
        <f>IF(OR($E60="",$F60="",$AG60="",$F60&lt;=0),"",($E60-$AG60)/$F60)</f>
        <v/>
      </c>
      <c r="AK60" s="23" t="n"/>
      <c r="AL60" s="20" t="n"/>
      <c r="AM60" s="21">
        <f>COUNTIF($I60:$T60,"◯")*2+COUNTIF($I60:$T60,"△〜◯")*1.5+COUNTIF($I60:$T60,"△")*1+COUNTIF($I60:$T60,"×〜△")*0.5</f>
        <v/>
      </c>
      <c r="AN60" s="17">
        <f>COUNTIF($I60:$T60,"◯")+COUNTIF($I60:$T60,"△〜◯")+COUNTIF($I60:$T60,"△")+COUNTIF($I60:$T60,"×〜△")+COUNTIF($I60:$T60,"×")</f>
        <v/>
      </c>
      <c r="AO60" s="17">
        <f>COUNTIF($I60:$T60,"×")</f>
        <v/>
      </c>
      <c r="AP60" s="17">
        <f>COUNTIF($I60,"×")+COUNTIF($J60,"×")+COUNTIF($L60,"×")+COUNTIF($O60,"×")</f>
        <v/>
      </c>
    </row>
    <row r="61">
      <c r="A61" s="23" t="n"/>
      <c r="B61" s="23" t="n"/>
      <c r="C61" s="20" t="n"/>
      <c r="D61" s="23" t="n"/>
      <c r="E61" s="24" t="n"/>
      <c r="F61" s="24" t="n"/>
      <c r="G61" s="15">
        <f>IF(OR($E61="",$F61="",$AG61="",$AH61="",$F61&lt;=0),"",($E61-($AG61-$AH61))/$F61)</f>
        <v/>
      </c>
      <c r="H61" s="24" t="n"/>
      <c r="I61" s="25" t="n"/>
      <c r="J61" s="25" t="n"/>
      <c r="K61" s="25" t="n"/>
      <c r="L61" s="25" t="n"/>
      <c r="M61" s="25" t="n"/>
      <c r="N61" s="25" t="n"/>
      <c r="O61" s="25" t="n"/>
      <c r="P61" s="25" t="n"/>
      <c r="Q61" s="25" t="n"/>
      <c r="R61" s="25" t="n"/>
      <c r="S61" s="25" t="n"/>
      <c r="T61" s="25" t="n"/>
      <c r="U61" s="17">
        <f>IF($AN61=0,"",IF($AP61&gt;0,"C：見送り（Must×）",IF($AO61&gt;=2,"C：見送り（×2件以上）",IF($AN61&lt;6,"B：追加情報を取得",IF(AND($AO61=0,$AM61/($AN61*2)&gt;=0.75),"A：進める","B：追加情報を取得")))))</f>
        <v/>
      </c>
      <c r="V61" s="18">
        <f>IF($AN61=0,"",$AM61/($AN61*2))</f>
        <v/>
      </c>
      <c r="W61" s="23" t="n"/>
      <c r="X61" s="20" t="n"/>
      <c r="Y61" s="22" t="n"/>
      <c r="Z61" s="22" t="n"/>
      <c r="AA61" s="20" t="n"/>
      <c r="AB61" s="20" t="n"/>
      <c r="AC61" s="22" t="n"/>
      <c r="AD61" s="23" t="n"/>
      <c r="AE61" s="23" t="n"/>
      <c r="AF61" s="23" t="n"/>
      <c r="AG61" s="24" t="n"/>
      <c r="AH61" s="24" t="n"/>
      <c r="AI61" s="17">
        <f>IF($H61="","",IF($H61&lt;300,"下限未満（対象外）",IF($H61&gt;3000,"上限超（対象外）","範囲内")))</f>
        <v/>
      </c>
      <c r="AJ61" s="15">
        <f>IF(OR($E61="",$F61="",$AG61="",$F61&lt;=0),"",($E61-$AG61)/$F61)</f>
        <v/>
      </c>
      <c r="AK61" s="23" t="n"/>
      <c r="AL61" s="20" t="n"/>
      <c r="AM61" s="21">
        <f>COUNTIF($I61:$T61,"◯")*2+COUNTIF($I61:$T61,"△〜◯")*1.5+COUNTIF($I61:$T61,"△")*1+COUNTIF($I61:$T61,"×〜△")*0.5</f>
        <v/>
      </c>
      <c r="AN61" s="17">
        <f>COUNTIF($I61:$T61,"◯")+COUNTIF($I61:$T61,"△〜◯")+COUNTIF($I61:$T61,"△")+COUNTIF($I61:$T61,"×〜△")+COUNTIF($I61:$T61,"×")</f>
        <v/>
      </c>
      <c r="AO61" s="17">
        <f>COUNTIF($I61:$T61,"×")</f>
        <v/>
      </c>
      <c r="AP61" s="17">
        <f>COUNTIF($I61,"×")+COUNTIF($J61,"×")+COUNTIF($L61,"×")+COUNTIF($O61,"×")</f>
        <v/>
      </c>
    </row>
    <row r="62">
      <c r="A62" s="23" t="n"/>
      <c r="B62" s="23" t="n"/>
      <c r="C62" s="20" t="n"/>
      <c r="D62" s="23" t="n"/>
      <c r="E62" s="24" t="n"/>
      <c r="F62" s="24" t="n"/>
      <c r="G62" s="15">
        <f>IF(OR($E62="",$F62="",$AG62="",$AH62="",$F62&lt;=0),"",($E62-($AG62-$AH62))/$F62)</f>
        <v/>
      </c>
      <c r="H62" s="24" t="n"/>
      <c r="I62" s="25" t="n"/>
      <c r="J62" s="25" t="n"/>
      <c r="K62" s="25" t="n"/>
      <c r="L62" s="25" t="n"/>
      <c r="M62" s="25" t="n"/>
      <c r="N62" s="25" t="n"/>
      <c r="O62" s="25" t="n"/>
      <c r="P62" s="25" t="n"/>
      <c r="Q62" s="25" t="n"/>
      <c r="R62" s="25" t="n"/>
      <c r="S62" s="25" t="n"/>
      <c r="T62" s="25" t="n"/>
      <c r="U62" s="17">
        <f>IF($AN62=0,"",IF($AP62&gt;0,"C：見送り（Must×）",IF($AO62&gt;=2,"C：見送り（×2件以上）",IF($AN62&lt;6,"B：追加情報を取得",IF(AND($AO62=0,$AM62/($AN62*2)&gt;=0.75),"A：進める","B：追加情報を取得")))))</f>
        <v/>
      </c>
      <c r="V62" s="18">
        <f>IF($AN62=0,"",$AM62/($AN62*2))</f>
        <v/>
      </c>
      <c r="W62" s="23" t="n"/>
      <c r="X62" s="20" t="n"/>
      <c r="Y62" s="22" t="n"/>
      <c r="Z62" s="22" t="n"/>
      <c r="AA62" s="20" t="n"/>
      <c r="AB62" s="20" t="n"/>
      <c r="AC62" s="22" t="n"/>
      <c r="AD62" s="23" t="n"/>
      <c r="AE62" s="23" t="n"/>
      <c r="AF62" s="23" t="n"/>
      <c r="AG62" s="24" t="n"/>
      <c r="AH62" s="24" t="n"/>
      <c r="AI62" s="17">
        <f>IF($H62="","",IF($H62&lt;300,"下限未満（対象外）",IF($H62&gt;3000,"上限超（対象外）","範囲内")))</f>
        <v/>
      </c>
      <c r="AJ62" s="15">
        <f>IF(OR($E62="",$F62="",$AG62="",$F62&lt;=0),"",($E62-$AG62)/$F62)</f>
        <v/>
      </c>
      <c r="AK62" s="23" t="n"/>
      <c r="AL62" s="20" t="n"/>
      <c r="AM62" s="21">
        <f>COUNTIF($I62:$T62,"◯")*2+COUNTIF($I62:$T62,"△〜◯")*1.5+COUNTIF($I62:$T62,"△")*1+COUNTIF($I62:$T62,"×〜△")*0.5</f>
        <v/>
      </c>
      <c r="AN62" s="17">
        <f>COUNTIF($I62:$T62,"◯")+COUNTIF($I62:$T62,"△〜◯")+COUNTIF($I62:$T62,"△")+COUNTIF($I62:$T62,"×〜△")+COUNTIF($I62:$T62,"×")</f>
        <v/>
      </c>
      <c r="AO62" s="17">
        <f>COUNTIF($I62:$T62,"×")</f>
        <v/>
      </c>
      <c r="AP62" s="17">
        <f>COUNTIF($I62,"×")+COUNTIF($J62,"×")+COUNTIF($L62,"×")+COUNTIF($O62,"×")</f>
        <v/>
      </c>
    </row>
    <row r="63">
      <c r="A63" s="23" t="n"/>
      <c r="B63" s="23" t="n"/>
      <c r="C63" s="20" t="n"/>
      <c r="D63" s="23" t="n"/>
      <c r="E63" s="24" t="n"/>
      <c r="F63" s="24" t="n"/>
      <c r="G63" s="15">
        <f>IF(OR($E63="",$F63="",$AG63="",$AH63="",$F63&lt;=0),"",($E63-($AG63-$AH63))/$F63)</f>
        <v/>
      </c>
      <c r="H63" s="24" t="n"/>
      <c r="I63" s="25" t="n"/>
      <c r="J63" s="25" t="n"/>
      <c r="K63" s="25" t="n"/>
      <c r="L63" s="25" t="n"/>
      <c r="M63" s="25" t="n"/>
      <c r="N63" s="25" t="n"/>
      <c r="O63" s="25" t="n"/>
      <c r="P63" s="25" t="n"/>
      <c r="Q63" s="25" t="n"/>
      <c r="R63" s="25" t="n"/>
      <c r="S63" s="25" t="n"/>
      <c r="T63" s="25" t="n"/>
      <c r="U63" s="17">
        <f>IF($AN63=0,"",IF($AP63&gt;0,"C：見送り（Must×）",IF($AO63&gt;=2,"C：見送り（×2件以上）",IF($AN63&lt;6,"B：追加情報を取得",IF(AND($AO63=0,$AM63/($AN63*2)&gt;=0.75),"A：進める","B：追加情報を取得")))))</f>
        <v/>
      </c>
      <c r="V63" s="18">
        <f>IF($AN63=0,"",$AM63/($AN63*2))</f>
        <v/>
      </c>
      <c r="W63" s="23" t="n"/>
      <c r="X63" s="20" t="n"/>
      <c r="Y63" s="22" t="n"/>
      <c r="Z63" s="22" t="n"/>
      <c r="AA63" s="20" t="n"/>
      <c r="AB63" s="20" t="n"/>
      <c r="AC63" s="22" t="n"/>
      <c r="AD63" s="23" t="n"/>
      <c r="AE63" s="23" t="n"/>
      <c r="AF63" s="23" t="n"/>
      <c r="AG63" s="24" t="n"/>
      <c r="AH63" s="24" t="n"/>
      <c r="AI63" s="17">
        <f>IF($H63="","",IF($H63&lt;300,"下限未満（対象外）",IF($H63&gt;3000,"上限超（対象外）","範囲内")))</f>
        <v/>
      </c>
      <c r="AJ63" s="15">
        <f>IF(OR($E63="",$F63="",$AG63="",$F63&lt;=0),"",($E63-$AG63)/$F63)</f>
        <v/>
      </c>
      <c r="AK63" s="23" t="n"/>
      <c r="AL63" s="20" t="n"/>
      <c r="AM63" s="21">
        <f>COUNTIF($I63:$T63,"◯")*2+COUNTIF($I63:$T63,"△〜◯")*1.5+COUNTIF($I63:$T63,"△")*1+COUNTIF($I63:$T63,"×〜△")*0.5</f>
        <v/>
      </c>
      <c r="AN63" s="17">
        <f>COUNTIF($I63:$T63,"◯")+COUNTIF($I63:$T63,"△〜◯")+COUNTIF($I63:$T63,"△")+COUNTIF($I63:$T63,"×〜△")+COUNTIF($I63:$T63,"×")</f>
        <v/>
      </c>
      <c r="AO63" s="17">
        <f>COUNTIF($I63:$T63,"×")</f>
        <v/>
      </c>
      <c r="AP63" s="17">
        <f>COUNTIF($I63,"×")+COUNTIF($J63,"×")+COUNTIF($L63,"×")+COUNTIF($O63,"×")</f>
        <v/>
      </c>
    </row>
    <row r="64">
      <c r="A64" s="23" t="n"/>
      <c r="B64" s="23" t="n"/>
      <c r="C64" s="20" t="n"/>
      <c r="D64" s="23" t="n"/>
      <c r="E64" s="24" t="n"/>
      <c r="F64" s="24" t="n"/>
      <c r="G64" s="15">
        <f>IF(OR($E64="",$F64="",$AG64="",$AH64="",$F64&lt;=0),"",($E64-($AG64-$AH64))/$F64)</f>
        <v/>
      </c>
      <c r="H64" s="24" t="n"/>
      <c r="I64" s="25" t="n"/>
      <c r="J64" s="25" t="n"/>
      <c r="K64" s="25" t="n"/>
      <c r="L64" s="25" t="n"/>
      <c r="M64" s="25" t="n"/>
      <c r="N64" s="25" t="n"/>
      <c r="O64" s="25" t="n"/>
      <c r="P64" s="25" t="n"/>
      <c r="Q64" s="25" t="n"/>
      <c r="R64" s="25" t="n"/>
      <c r="S64" s="25" t="n"/>
      <c r="T64" s="25" t="n"/>
      <c r="U64" s="17">
        <f>IF($AN64=0,"",IF($AP64&gt;0,"C：見送り（Must×）",IF($AO64&gt;=2,"C：見送り（×2件以上）",IF($AN64&lt;6,"B：追加情報を取得",IF(AND($AO64=0,$AM64/($AN64*2)&gt;=0.75),"A：進める","B：追加情報を取得")))))</f>
        <v/>
      </c>
      <c r="V64" s="18">
        <f>IF($AN64=0,"",$AM64/($AN64*2))</f>
        <v/>
      </c>
      <c r="W64" s="23" t="n"/>
      <c r="X64" s="20" t="n"/>
      <c r="Y64" s="22" t="n"/>
      <c r="Z64" s="22" t="n"/>
      <c r="AA64" s="20" t="n"/>
      <c r="AB64" s="20" t="n"/>
      <c r="AC64" s="22" t="n"/>
      <c r="AD64" s="23" t="n"/>
      <c r="AE64" s="23" t="n"/>
      <c r="AF64" s="23" t="n"/>
      <c r="AG64" s="24" t="n"/>
      <c r="AH64" s="24" t="n"/>
      <c r="AI64" s="17">
        <f>IF($H64="","",IF($H64&lt;300,"下限未満（対象外）",IF($H64&gt;3000,"上限超（対象外）","範囲内")))</f>
        <v/>
      </c>
      <c r="AJ64" s="15">
        <f>IF(OR($E64="",$F64="",$AG64="",$F64&lt;=0),"",($E64-$AG64)/$F64)</f>
        <v/>
      </c>
      <c r="AK64" s="23" t="n"/>
      <c r="AL64" s="20" t="n"/>
      <c r="AM64" s="21">
        <f>COUNTIF($I64:$T64,"◯")*2+COUNTIF($I64:$T64,"△〜◯")*1.5+COUNTIF($I64:$T64,"△")*1+COUNTIF($I64:$T64,"×〜△")*0.5</f>
        <v/>
      </c>
      <c r="AN64" s="17">
        <f>COUNTIF($I64:$T64,"◯")+COUNTIF($I64:$T64,"△〜◯")+COUNTIF($I64:$T64,"△")+COUNTIF($I64:$T64,"×〜△")+COUNTIF($I64:$T64,"×")</f>
        <v/>
      </c>
      <c r="AO64" s="17">
        <f>COUNTIF($I64:$T64,"×")</f>
        <v/>
      </c>
      <c r="AP64" s="17">
        <f>COUNTIF($I64,"×")+COUNTIF($J64,"×")+COUNTIF($L64,"×")+COUNTIF($O64,"×")</f>
        <v/>
      </c>
    </row>
    <row r="65">
      <c r="A65" s="23" t="n"/>
      <c r="B65" s="23" t="n"/>
      <c r="C65" s="20" t="n"/>
      <c r="D65" s="23" t="n"/>
      <c r="E65" s="24" t="n"/>
      <c r="F65" s="24" t="n"/>
      <c r="G65" s="15">
        <f>IF(OR($E65="",$F65="",$AG65="",$AH65="",$F65&lt;=0),"",($E65-($AG65-$AH65))/$F65)</f>
        <v/>
      </c>
      <c r="H65" s="24" t="n"/>
      <c r="I65" s="25" t="n"/>
      <c r="J65" s="25" t="n"/>
      <c r="K65" s="25" t="n"/>
      <c r="L65" s="25" t="n"/>
      <c r="M65" s="25" t="n"/>
      <c r="N65" s="25" t="n"/>
      <c r="O65" s="25" t="n"/>
      <c r="P65" s="25" t="n"/>
      <c r="Q65" s="25" t="n"/>
      <c r="R65" s="25" t="n"/>
      <c r="S65" s="25" t="n"/>
      <c r="T65" s="25" t="n"/>
      <c r="U65" s="17">
        <f>IF($AN65=0,"",IF($AP65&gt;0,"C：見送り（Must×）",IF($AO65&gt;=2,"C：見送り（×2件以上）",IF($AN65&lt;6,"B：追加情報を取得",IF(AND($AO65=0,$AM65/($AN65*2)&gt;=0.75),"A：進める","B：追加情報を取得")))))</f>
        <v/>
      </c>
      <c r="V65" s="18">
        <f>IF($AN65=0,"",$AM65/($AN65*2))</f>
        <v/>
      </c>
      <c r="W65" s="23" t="n"/>
      <c r="X65" s="20" t="n"/>
      <c r="Y65" s="22" t="n"/>
      <c r="Z65" s="22" t="n"/>
      <c r="AA65" s="20" t="n"/>
      <c r="AB65" s="20" t="n"/>
      <c r="AC65" s="22" t="n"/>
      <c r="AD65" s="23" t="n"/>
      <c r="AE65" s="23" t="n"/>
      <c r="AF65" s="23" t="n"/>
      <c r="AG65" s="24" t="n"/>
      <c r="AH65" s="24" t="n"/>
      <c r="AI65" s="17">
        <f>IF($H65="","",IF($H65&lt;300,"下限未満（対象外）",IF($H65&gt;3000,"上限超（対象外）","範囲内")))</f>
        <v/>
      </c>
      <c r="AJ65" s="15">
        <f>IF(OR($E65="",$F65="",$AG65="",$F65&lt;=0),"",($E65-$AG65)/$F65)</f>
        <v/>
      </c>
      <c r="AK65" s="23" t="n"/>
      <c r="AL65" s="20" t="n"/>
      <c r="AM65" s="21">
        <f>COUNTIF($I65:$T65,"◯")*2+COUNTIF($I65:$T65,"△〜◯")*1.5+COUNTIF($I65:$T65,"△")*1+COUNTIF($I65:$T65,"×〜△")*0.5</f>
        <v/>
      </c>
      <c r="AN65" s="17">
        <f>COUNTIF($I65:$T65,"◯")+COUNTIF($I65:$T65,"△〜◯")+COUNTIF($I65:$T65,"△")+COUNTIF($I65:$T65,"×〜△")+COUNTIF($I65:$T65,"×")</f>
        <v/>
      </c>
      <c r="AO65" s="17">
        <f>COUNTIF($I65:$T65,"×")</f>
        <v/>
      </c>
      <c r="AP65" s="17">
        <f>COUNTIF($I65,"×")+COUNTIF($J65,"×")+COUNTIF($L65,"×")+COUNTIF($O65,"×")</f>
        <v/>
      </c>
    </row>
    <row r="66">
      <c r="A66" s="23" t="n"/>
      <c r="B66" s="23" t="n"/>
      <c r="C66" s="20" t="n"/>
      <c r="D66" s="23" t="n"/>
      <c r="E66" s="24" t="n"/>
      <c r="F66" s="24" t="n"/>
      <c r="G66" s="15">
        <f>IF(OR($E66="",$F66="",$AG66="",$AH66="",$F66&lt;=0),"",($E66-($AG66-$AH66))/$F66)</f>
        <v/>
      </c>
      <c r="H66" s="24" t="n"/>
      <c r="I66" s="25" t="n"/>
      <c r="J66" s="25" t="n"/>
      <c r="K66" s="25" t="n"/>
      <c r="L66" s="25" t="n"/>
      <c r="M66" s="25" t="n"/>
      <c r="N66" s="25" t="n"/>
      <c r="O66" s="25" t="n"/>
      <c r="P66" s="25" t="n"/>
      <c r="Q66" s="25" t="n"/>
      <c r="R66" s="25" t="n"/>
      <c r="S66" s="25" t="n"/>
      <c r="T66" s="25" t="n"/>
      <c r="U66" s="17">
        <f>IF($AN66=0,"",IF($AP66&gt;0,"C：見送り（Must×）",IF($AO66&gt;=2,"C：見送り（×2件以上）",IF($AN66&lt;6,"B：追加情報を取得",IF(AND($AO66=0,$AM66/($AN66*2)&gt;=0.75),"A：進める","B：追加情報を取得")))))</f>
        <v/>
      </c>
      <c r="V66" s="18">
        <f>IF($AN66=0,"",$AM66/($AN66*2))</f>
        <v/>
      </c>
      <c r="W66" s="23" t="n"/>
      <c r="X66" s="20" t="n"/>
      <c r="Y66" s="22" t="n"/>
      <c r="Z66" s="22" t="n"/>
      <c r="AA66" s="20" t="n"/>
      <c r="AB66" s="20" t="n"/>
      <c r="AC66" s="22" t="n"/>
      <c r="AD66" s="23" t="n"/>
      <c r="AE66" s="23" t="n"/>
      <c r="AF66" s="23" t="n"/>
      <c r="AG66" s="24" t="n"/>
      <c r="AH66" s="24" t="n"/>
      <c r="AI66" s="17">
        <f>IF($H66="","",IF($H66&lt;300,"下限未満（対象外）",IF($H66&gt;3000,"上限超（対象外）","範囲内")))</f>
        <v/>
      </c>
      <c r="AJ66" s="15">
        <f>IF(OR($E66="",$F66="",$AG66="",$F66&lt;=0),"",($E66-$AG66)/$F66)</f>
        <v/>
      </c>
      <c r="AK66" s="23" t="n"/>
      <c r="AL66" s="20" t="n"/>
      <c r="AM66" s="21">
        <f>COUNTIF($I66:$T66,"◯")*2+COUNTIF($I66:$T66,"△〜◯")*1.5+COUNTIF($I66:$T66,"△")*1+COUNTIF($I66:$T66,"×〜△")*0.5</f>
        <v/>
      </c>
      <c r="AN66" s="17">
        <f>COUNTIF($I66:$T66,"◯")+COUNTIF($I66:$T66,"△〜◯")+COUNTIF($I66:$T66,"△")+COUNTIF($I66:$T66,"×〜△")+COUNTIF($I66:$T66,"×")</f>
        <v/>
      </c>
      <c r="AO66" s="17">
        <f>COUNTIF($I66:$T66,"×")</f>
        <v/>
      </c>
      <c r="AP66" s="17">
        <f>COUNTIF($I66,"×")+COUNTIF($J66,"×")+COUNTIF($L66,"×")+COUNTIF($O66,"×")</f>
        <v/>
      </c>
    </row>
    <row r="67">
      <c r="A67" s="23" t="n"/>
      <c r="B67" s="23" t="n"/>
      <c r="C67" s="20" t="n"/>
      <c r="D67" s="23" t="n"/>
      <c r="E67" s="24" t="n"/>
      <c r="F67" s="24" t="n"/>
      <c r="G67" s="15">
        <f>IF(OR($E67="",$F67="",$AG67="",$AH67="",$F67&lt;=0),"",($E67-($AG67-$AH67))/$F67)</f>
        <v/>
      </c>
      <c r="H67" s="24" t="n"/>
      <c r="I67" s="25" t="n"/>
      <c r="J67" s="25" t="n"/>
      <c r="K67" s="25" t="n"/>
      <c r="L67" s="25" t="n"/>
      <c r="M67" s="25" t="n"/>
      <c r="N67" s="25" t="n"/>
      <c r="O67" s="25" t="n"/>
      <c r="P67" s="25" t="n"/>
      <c r="Q67" s="25" t="n"/>
      <c r="R67" s="25" t="n"/>
      <c r="S67" s="25" t="n"/>
      <c r="T67" s="25" t="n"/>
      <c r="U67" s="17">
        <f>IF($AN67=0,"",IF($AP67&gt;0,"C：見送り（Must×）",IF($AO67&gt;=2,"C：見送り（×2件以上）",IF($AN67&lt;6,"B：追加情報を取得",IF(AND($AO67=0,$AM67/($AN67*2)&gt;=0.75),"A：進める","B：追加情報を取得")))))</f>
        <v/>
      </c>
      <c r="V67" s="18">
        <f>IF($AN67=0,"",$AM67/($AN67*2))</f>
        <v/>
      </c>
      <c r="W67" s="23" t="n"/>
      <c r="X67" s="20" t="n"/>
      <c r="Y67" s="22" t="n"/>
      <c r="Z67" s="22" t="n"/>
      <c r="AA67" s="20" t="n"/>
      <c r="AB67" s="20" t="n"/>
      <c r="AC67" s="22" t="n"/>
      <c r="AD67" s="23" t="n"/>
      <c r="AE67" s="23" t="n"/>
      <c r="AF67" s="23" t="n"/>
      <c r="AG67" s="24" t="n"/>
      <c r="AH67" s="24" t="n"/>
      <c r="AI67" s="17">
        <f>IF($H67="","",IF($H67&lt;300,"下限未満（対象外）",IF($H67&gt;3000,"上限超（対象外）","範囲内")))</f>
        <v/>
      </c>
      <c r="AJ67" s="15">
        <f>IF(OR($E67="",$F67="",$AG67="",$F67&lt;=0),"",($E67-$AG67)/$F67)</f>
        <v/>
      </c>
      <c r="AK67" s="23" t="n"/>
      <c r="AL67" s="20" t="n"/>
      <c r="AM67" s="21">
        <f>COUNTIF($I67:$T67,"◯")*2+COUNTIF($I67:$T67,"△〜◯")*1.5+COUNTIF($I67:$T67,"△")*1+COUNTIF($I67:$T67,"×〜△")*0.5</f>
        <v/>
      </c>
      <c r="AN67" s="17">
        <f>COUNTIF($I67:$T67,"◯")+COUNTIF($I67:$T67,"△〜◯")+COUNTIF($I67:$T67,"△")+COUNTIF($I67:$T67,"×〜△")+COUNTIF($I67:$T67,"×")</f>
        <v/>
      </c>
      <c r="AO67" s="17">
        <f>COUNTIF($I67:$T67,"×")</f>
        <v/>
      </c>
      <c r="AP67" s="17">
        <f>COUNTIF($I67,"×")+COUNTIF($J67,"×")+COUNTIF($L67,"×")+COUNTIF($O67,"×")</f>
        <v/>
      </c>
    </row>
    <row r="68">
      <c r="A68" s="23" t="n"/>
      <c r="B68" s="23" t="n"/>
      <c r="C68" s="20" t="n"/>
      <c r="D68" s="23" t="n"/>
      <c r="E68" s="24" t="n"/>
      <c r="F68" s="24" t="n"/>
      <c r="G68" s="15">
        <f>IF(OR($E68="",$F68="",$AG68="",$AH68="",$F68&lt;=0),"",($E68-($AG68-$AH68))/$F68)</f>
        <v/>
      </c>
      <c r="H68" s="24" t="n"/>
      <c r="I68" s="25" t="n"/>
      <c r="J68" s="25" t="n"/>
      <c r="K68" s="25" t="n"/>
      <c r="L68" s="25" t="n"/>
      <c r="M68" s="25" t="n"/>
      <c r="N68" s="25" t="n"/>
      <c r="O68" s="25" t="n"/>
      <c r="P68" s="25" t="n"/>
      <c r="Q68" s="25" t="n"/>
      <c r="R68" s="25" t="n"/>
      <c r="S68" s="25" t="n"/>
      <c r="T68" s="25" t="n"/>
      <c r="U68" s="17">
        <f>IF($AN68=0,"",IF($AP68&gt;0,"C：見送り（Must×）",IF($AO68&gt;=2,"C：見送り（×2件以上）",IF($AN68&lt;6,"B：追加情報を取得",IF(AND($AO68=0,$AM68/($AN68*2)&gt;=0.75),"A：進める","B：追加情報を取得")))))</f>
        <v/>
      </c>
      <c r="V68" s="18">
        <f>IF($AN68=0,"",$AM68/($AN68*2))</f>
        <v/>
      </c>
      <c r="W68" s="23" t="n"/>
      <c r="X68" s="20" t="n"/>
      <c r="Y68" s="22" t="n"/>
      <c r="Z68" s="22" t="n"/>
      <c r="AA68" s="20" t="n"/>
      <c r="AB68" s="20" t="n"/>
      <c r="AC68" s="22" t="n"/>
      <c r="AD68" s="23" t="n"/>
      <c r="AE68" s="23" t="n"/>
      <c r="AF68" s="23" t="n"/>
      <c r="AG68" s="24" t="n"/>
      <c r="AH68" s="24" t="n"/>
      <c r="AI68" s="17">
        <f>IF($H68="","",IF($H68&lt;300,"下限未満（対象外）",IF($H68&gt;3000,"上限超（対象外）","範囲内")))</f>
        <v/>
      </c>
      <c r="AJ68" s="15">
        <f>IF(OR($E68="",$F68="",$AG68="",$F68&lt;=0),"",($E68-$AG68)/$F68)</f>
        <v/>
      </c>
      <c r="AK68" s="23" t="n"/>
      <c r="AL68" s="20" t="n"/>
      <c r="AM68" s="21">
        <f>COUNTIF($I68:$T68,"◯")*2+COUNTIF($I68:$T68,"△〜◯")*1.5+COUNTIF($I68:$T68,"△")*1+COUNTIF($I68:$T68,"×〜△")*0.5</f>
        <v/>
      </c>
      <c r="AN68" s="17">
        <f>COUNTIF($I68:$T68,"◯")+COUNTIF($I68:$T68,"△〜◯")+COUNTIF($I68:$T68,"△")+COUNTIF($I68:$T68,"×〜△")+COUNTIF($I68:$T68,"×")</f>
        <v/>
      </c>
      <c r="AO68" s="17">
        <f>COUNTIF($I68:$T68,"×")</f>
        <v/>
      </c>
      <c r="AP68" s="17">
        <f>COUNTIF($I68,"×")+COUNTIF($J68,"×")+COUNTIF($L68,"×")+COUNTIF($O68,"×")</f>
        <v/>
      </c>
    </row>
    <row r="69">
      <c r="A69" s="23" t="n"/>
      <c r="B69" s="23" t="n"/>
      <c r="C69" s="20" t="n"/>
      <c r="D69" s="23" t="n"/>
      <c r="E69" s="24" t="n"/>
      <c r="F69" s="24" t="n"/>
      <c r="G69" s="15">
        <f>IF(OR($E69="",$F69="",$AG69="",$AH69="",$F69&lt;=0),"",($E69-($AG69-$AH69))/$F69)</f>
        <v/>
      </c>
      <c r="H69" s="24" t="n"/>
      <c r="I69" s="25" t="n"/>
      <c r="J69" s="25" t="n"/>
      <c r="K69" s="25" t="n"/>
      <c r="L69" s="25" t="n"/>
      <c r="M69" s="25" t="n"/>
      <c r="N69" s="25" t="n"/>
      <c r="O69" s="25" t="n"/>
      <c r="P69" s="25" t="n"/>
      <c r="Q69" s="25" t="n"/>
      <c r="R69" s="25" t="n"/>
      <c r="S69" s="25" t="n"/>
      <c r="T69" s="25" t="n"/>
      <c r="U69" s="17">
        <f>IF($AN69=0,"",IF($AP69&gt;0,"C：見送り（Must×）",IF($AO69&gt;=2,"C：見送り（×2件以上）",IF($AN69&lt;6,"B：追加情報を取得",IF(AND($AO69=0,$AM69/($AN69*2)&gt;=0.75),"A：進める","B：追加情報を取得")))))</f>
        <v/>
      </c>
      <c r="V69" s="18">
        <f>IF($AN69=0,"",$AM69/($AN69*2))</f>
        <v/>
      </c>
      <c r="W69" s="23" t="n"/>
      <c r="X69" s="20" t="n"/>
      <c r="Y69" s="22" t="n"/>
      <c r="Z69" s="22" t="n"/>
      <c r="AA69" s="20" t="n"/>
      <c r="AB69" s="20" t="n"/>
      <c r="AC69" s="22" t="n"/>
      <c r="AD69" s="23" t="n"/>
      <c r="AE69" s="23" t="n"/>
      <c r="AF69" s="23" t="n"/>
      <c r="AG69" s="24" t="n"/>
      <c r="AH69" s="24" t="n"/>
      <c r="AI69" s="17">
        <f>IF($H69="","",IF($H69&lt;300,"下限未満（対象外）",IF($H69&gt;3000,"上限超（対象外）","範囲内")))</f>
        <v/>
      </c>
      <c r="AJ69" s="15">
        <f>IF(OR($E69="",$F69="",$AG69="",$F69&lt;=0),"",($E69-$AG69)/$F69)</f>
        <v/>
      </c>
      <c r="AK69" s="23" t="n"/>
      <c r="AL69" s="20" t="n"/>
      <c r="AM69" s="21">
        <f>COUNTIF($I69:$T69,"◯")*2+COUNTIF($I69:$T69,"△〜◯")*1.5+COUNTIF($I69:$T69,"△")*1+COUNTIF($I69:$T69,"×〜△")*0.5</f>
        <v/>
      </c>
      <c r="AN69" s="17">
        <f>COUNTIF($I69:$T69,"◯")+COUNTIF($I69:$T69,"△〜◯")+COUNTIF($I69:$T69,"△")+COUNTIF($I69:$T69,"×〜△")+COUNTIF($I69:$T69,"×")</f>
        <v/>
      </c>
      <c r="AO69" s="17">
        <f>COUNTIF($I69:$T69,"×")</f>
        <v/>
      </c>
      <c r="AP69" s="17">
        <f>COUNTIF($I69,"×")+COUNTIF($J69,"×")+COUNTIF($L69,"×")+COUNTIF($O69,"×")</f>
        <v/>
      </c>
    </row>
    <row r="70">
      <c r="A70" s="23" t="n"/>
      <c r="B70" s="23" t="n"/>
      <c r="C70" s="20" t="n"/>
      <c r="D70" s="23" t="n"/>
      <c r="E70" s="24" t="n"/>
      <c r="F70" s="24" t="n"/>
      <c r="G70" s="15">
        <f>IF(OR($E70="",$F70="",$AG70="",$AH70="",$F70&lt;=0),"",($E70-($AG70-$AH70))/$F70)</f>
        <v/>
      </c>
      <c r="H70" s="24" t="n"/>
      <c r="I70" s="25" t="n"/>
      <c r="J70" s="25" t="n"/>
      <c r="K70" s="25" t="n"/>
      <c r="L70" s="25" t="n"/>
      <c r="M70" s="25" t="n"/>
      <c r="N70" s="25" t="n"/>
      <c r="O70" s="25" t="n"/>
      <c r="P70" s="25" t="n"/>
      <c r="Q70" s="25" t="n"/>
      <c r="R70" s="25" t="n"/>
      <c r="S70" s="25" t="n"/>
      <c r="T70" s="25" t="n"/>
      <c r="U70" s="17">
        <f>IF($AN70=0,"",IF($AP70&gt;0,"C：見送り（Must×）",IF($AO70&gt;=2,"C：見送り（×2件以上）",IF($AN70&lt;6,"B：追加情報を取得",IF(AND($AO70=0,$AM70/($AN70*2)&gt;=0.75),"A：進める","B：追加情報を取得")))))</f>
        <v/>
      </c>
      <c r="V70" s="18">
        <f>IF($AN70=0,"",$AM70/($AN70*2))</f>
        <v/>
      </c>
      <c r="W70" s="23" t="n"/>
      <c r="X70" s="20" t="n"/>
      <c r="Y70" s="22" t="n"/>
      <c r="Z70" s="22" t="n"/>
      <c r="AA70" s="20" t="n"/>
      <c r="AB70" s="20" t="n"/>
      <c r="AC70" s="22" t="n"/>
      <c r="AD70" s="23" t="n"/>
      <c r="AE70" s="23" t="n"/>
      <c r="AF70" s="23" t="n"/>
      <c r="AG70" s="24" t="n"/>
      <c r="AH70" s="24" t="n"/>
      <c r="AI70" s="17">
        <f>IF($H70="","",IF($H70&lt;300,"下限未満（対象外）",IF($H70&gt;3000,"上限超（対象外）","範囲内")))</f>
        <v/>
      </c>
      <c r="AJ70" s="15">
        <f>IF(OR($E70="",$F70="",$AG70="",$F70&lt;=0),"",($E70-$AG70)/$F70)</f>
        <v/>
      </c>
      <c r="AK70" s="23" t="n"/>
      <c r="AL70" s="20" t="n"/>
      <c r="AM70" s="21">
        <f>COUNTIF($I70:$T70,"◯")*2+COUNTIF($I70:$T70,"△〜◯")*1.5+COUNTIF($I70:$T70,"△")*1+COUNTIF($I70:$T70,"×〜△")*0.5</f>
        <v/>
      </c>
      <c r="AN70" s="17">
        <f>COUNTIF($I70:$T70,"◯")+COUNTIF($I70:$T70,"△〜◯")+COUNTIF($I70:$T70,"△")+COUNTIF($I70:$T70,"×〜△")+COUNTIF($I70:$T70,"×")</f>
        <v/>
      </c>
      <c r="AO70" s="17">
        <f>COUNTIF($I70:$T70,"×")</f>
        <v/>
      </c>
      <c r="AP70" s="17">
        <f>COUNTIF($I70,"×")+COUNTIF($J70,"×")+COUNTIF($L70,"×")+COUNTIF($O70,"×")</f>
        <v/>
      </c>
    </row>
    <row r="71">
      <c r="A71" s="23" t="n"/>
      <c r="B71" s="23" t="n"/>
      <c r="C71" s="20" t="n"/>
      <c r="D71" s="23" t="n"/>
      <c r="E71" s="24" t="n"/>
      <c r="F71" s="24" t="n"/>
      <c r="G71" s="15">
        <f>IF(OR($E71="",$F71="",$AG71="",$AH71="",$F71&lt;=0),"",($E71-($AG71-$AH71))/$F71)</f>
        <v/>
      </c>
      <c r="H71" s="24" t="n"/>
      <c r="I71" s="25" t="n"/>
      <c r="J71" s="25" t="n"/>
      <c r="K71" s="25" t="n"/>
      <c r="L71" s="25" t="n"/>
      <c r="M71" s="25" t="n"/>
      <c r="N71" s="25" t="n"/>
      <c r="O71" s="25" t="n"/>
      <c r="P71" s="25" t="n"/>
      <c r="Q71" s="25" t="n"/>
      <c r="R71" s="25" t="n"/>
      <c r="S71" s="25" t="n"/>
      <c r="T71" s="25" t="n"/>
      <c r="U71" s="17">
        <f>IF($AN71=0,"",IF($AP71&gt;0,"C：見送り（Must×）",IF($AO71&gt;=2,"C：見送り（×2件以上）",IF($AN71&lt;6,"B：追加情報を取得",IF(AND($AO71=0,$AM71/($AN71*2)&gt;=0.75),"A：進める","B：追加情報を取得")))))</f>
        <v/>
      </c>
      <c r="V71" s="18">
        <f>IF($AN71=0,"",$AM71/($AN71*2))</f>
        <v/>
      </c>
      <c r="W71" s="23" t="n"/>
      <c r="X71" s="20" t="n"/>
      <c r="Y71" s="22" t="n"/>
      <c r="Z71" s="22" t="n"/>
      <c r="AA71" s="20" t="n"/>
      <c r="AB71" s="20" t="n"/>
      <c r="AC71" s="22" t="n"/>
      <c r="AD71" s="23" t="n"/>
      <c r="AE71" s="23" t="n"/>
      <c r="AF71" s="23" t="n"/>
      <c r="AG71" s="24" t="n"/>
      <c r="AH71" s="24" t="n"/>
      <c r="AI71" s="17">
        <f>IF($H71="","",IF($H71&lt;300,"下限未満（対象外）",IF($H71&gt;3000,"上限超（対象外）","範囲内")))</f>
        <v/>
      </c>
      <c r="AJ71" s="15">
        <f>IF(OR($E71="",$F71="",$AG71="",$F71&lt;=0),"",($E71-$AG71)/$F71)</f>
        <v/>
      </c>
      <c r="AK71" s="23" t="n"/>
      <c r="AL71" s="20" t="n"/>
      <c r="AM71" s="21">
        <f>COUNTIF($I71:$T71,"◯")*2+COUNTIF($I71:$T71,"△〜◯")*1.5+COUNTIF($I71:$T71,"△")*1+COUNTIF($I71:$T71,"×〜△")*0.5</f>
        <v/>
      </c>
      <c r="AN71" s="17">
        <f>COUNTIF($I71:$T71,"◯")+COUNTIF($I71:$T71,"△〜◯")+COUNTIF($I71:$T71,"△")+COUNTIF($I71:$T71,"×〜△")+COUNTIF($I71:$T71,"×")</f>
        <v/>
      </c>
      <c r="AO71" s="17">
        <f>COUNTIF($I71:$T71,"×")</f>
        <v/>
      </c>
      <c r="AP71" s="17">
        <f>COUNTIF($I71,"×")+COUNTIF($J71,"×")+COUNTIF($L71,"×")+COUNTIF($O71,"×")</f>
        <v/>
      </c>
    </row>
    <row r="72">
      <c r="A72" s="23" t="n"/>
      <c r="B72" s="23" t="n"/>
      <c r="C72" s="20" t="n"/>
      <c r="D72" s="23" t="n"/>
      <c r="E72" s="24" t="n"/>
      <c r="F72" s="24" t="n"/>
      <c r="G72" s="15">
        <f>IF(OR($E72="",$F72="",$AG72="",$AH72="",$F72&lt;=0),"",($E72-($AG72-$AH72))/$F72)</f>
        <v/>
      </c>
      <c r="H72" s="24" t="n"/>
      <c r="I72" s="25" t="n"/>
      <c r="J72" s="25" t="n"/>
      <c r="K72" s="25" t="n"/>
      <c r="L72" s="25" t="n"/>
      <c r="M72" s="25" t="n"/>
      <c r="N72" s="25" t="n"/>
      <c r="O72" s="25" t="n"/>
      <c r="P72" s="25" t="n"/>
      <c r="Q72" s="25" t="n"/>
      <c r="R72" s="25" t="n"/>
      <c r="S72" s="25" t="n"/>
      <c r="T72" s="25" t="n"/>
      <c r="U72" s="17">
        <f>IF($AN72=0,"",IF($AP72&gt;0,"C：見送り（Must×）",IF($AO72&gt;=2,"C：見送り（×2件以上）",IF($AN72&lt;6,"B：追加情報を取得",IF(AND($AO72=0,$AM72/($AN72*2)&gt;=0.75),"A：進める","B：追加情報を取得")))))</f>
        <v/>
      </c>
      <c r="V72" s="18">
        <f>IF($AN72=0,"",$AM72/($AN72*2))</f>
        <v/>
      </c>
      <c r="W72" s="23" t="n"/>
      <c r="X72" s="20" t="n"/>
      <c r="Y72" s="22" t="n"/>
      <c r="Z72" s="22" t="n"/>
      <c r="AA72" s="20" t="n"/>
      <c r="AB72" s="20" t="n"/>
      <c r="AC72" s="22" t="n"/>
      <c r="AD72" s="23" t="n"/>
      <c r="AE72" s="23" t="n"/>
      <c r="AF72" s="23" t="n"/>
      <c r="AG72" s="24" t="n"/>
      <c r="AH72" s="24" t="n"/>
      <c r="AI72" s="17">
        <f>IF($H72="","",IF($H72&lt;300,"下限未満（対象外）",IF($H72&gt;3000,"上限超（対象外）","範囲内")))</f>
        <v/>
      </c>
      <c r="AJ72" s="15">
        <f>IF(OR($E72="",$F72="",$AG72="",$F72&lt;=0),"",($E72-$AG72)/$F72)</f>
        <v/>
      </c>
      <c r="AK72" s="23" t="n"/>
      <c r="AL72" s="20" t="n"/>
      <c r="AM72" s="21">
        <f>COUNTIF($I72:$T72,"◯")*2+COUNTIF($I72:$T72,"△〜◯")*1.5+COUNTIF($I72:$T72,"△")*1+COUNTIF($I72:$T72,"×〜△")*0.5</f>
        <v/>
      </c>
      <c r="AN72" s="17">
        <f>COUNTIF($I72:$T72,"◯")+COUNTIF($I72:$T72,"△〜◯")+COUNTIF($I72:$T72,"△")+COUNTIF($I72:$T72,"×〜△")+COUNTIF($I72:$T72,"×")</f>
        <v/>
      </c>
      <c r="AO72" s="17">
        <f>COUNTIF($I72:$T72,"×")</f>
        <v/>
      </c>
      <c r="AP72" s="17">
        <f>COUNTIF($I72,"×")+COUNTIF($J72,"×")+COUNTIF($L72,"×")+COUNTIF($O72,"×")</f>
        <v/>
      </c>
    </row>
    <row r="73">
      <c r="A73" s="23" t="n"/>
      <c r="B73" s="23" t="n"/>
      <c r="C73" s="20" t="n"/>
      <c r="D73" s="23" t="n"/>
      <c r="E73" s="24" t="n"/>
      <c r="F73" s="24" t="n"/>
      <c r="G73" s="15">
        <f>IF(OR($E73="",$F73="",$AG73="",$AH73="",$F73&lt;=0),"",($E73-($AG73-$AH73))/$F73)</f>
        <v/>
      </c>
      <c r="H73" s="24" t="n"/>
      <c r="I73" s="25" t="n"/>
      <c r="J73" s="25" t="n"/>
      <c r="K73" s="25" t="n"/>
      <c r="L73" s="25" t="n"/>
      <c r="M73" s="25" t="n"/>
      <c r="N73" s="25" t="n"/>
      <c r="O73" s="25" t="n"/>
      <c r="P73" s="25" t="n"/>
      <c r="Q73" s="25" t="n"/>
      <c r="R73" s="25" t="n"/>
      <c r="S73" s="25" t="n"/>
      <c r="T73" s="25" t="n"/>
      <c r="U73" s="17">
        <f>IF($AN73=0,"",IF($AP73&gt;0,"C：見送り（Must×）",IF($AO73&gt;=2,"C：見送り（×2件以上）",IF($AN73&lt;6,"B：追加情報を取得",IF(AND($AO73=0,$AM73/($AN73*2)&gt;=0.75),"A：進める","B：追加情報を取得")))))</f>
        <v/>
      </c>
      <c r="V73" s="18">
        <f>IF($AN73=0,"",$AM73/($AN73*2))</f>
        <v/>
      </c>
      <c r="W73" s="23" t="n"/>
      <c r="X73" s="20" t="n"/>
      <c r="Y73" s="22" t="n"/>
      <c r="Z73" s="22" t="n"/>
      <c r="AA73" s="20" t="n"/>
      <c r="AB73" s="20" t="n"/>
      <c r="AC73" s="22" t="n"/>
      <c r="AD73" s="23" t="n"/>
      <c r="AE73" s="23" t="n"/>
      <c r="AF73" s="23" t="n"/>
      <c r="AG73" s="24" t="n"/>
      <c r="AH73" s="24" t="n"/>
      <c r="AI73" s="17">
        <f>IF($H73="","",IF($H73&lt;300,"下限未満（対象外）",IF($H73&gt;3000,"上限超（対象外）","範囲内")))</f>
        <v/>
      </c>
      <c r="AJ73" s="15">
        <f>IF(OR($E73="",$F73="",$AG73="",$F73&lt;=0),"",($E73-$AG73)/$F73)</f>
        <v/>
      </c>
      <c r="AK73" s="23" t="n"/>
      <c r="AL73" s="20" t="n"/>
      <c r="AM73" s="21">
        <f>COUNTIF($I73:$T73,"◯")*2+COUNTIF($I73:$T73,"△〜◯")*1.5+COUNTIF($I73:$T73,"△")*1+COUNTIF($I73:$T73,"×〜△")*0.5</f>
        <v/>
      </c>
      <c r="AN73" s="17">
        <f>COUNTIF($I73:$T73,"◯")+COUNTIF($I73:$T73,"△〜◯")+COUNTIF($I73:$T73,"△")+COUNTIF($I73:$T73,"×〜△")+COUNTIF($I73:$T73,"×")</f>
        <v/>
      </c>
      <c r="AO73" s="17">
        <f>COUNTIF($I73:$T73,"×")</f>
        <v/>
      </c>
      <c r="AP73" s="17">
        <f>COUNTIF($I73,"×")+COUNTIF($J73,"×")+COUNTIF($L73,"×")+COUNTIF($O73,"×")</f>
        <v/>
      </c>
    </row>
    <row r="74">
      <c r="A74" s="23" t="n"/>
      <c r="B74" s="23" t="n"/>
      <c r="C74" s="20" t="n"/>
      <c r="D74" s="23" t="n"/>
      <c r="E74" s="24" t="n"/>
      <c r="F74" s="24" t="n"/>
      <c r="G74" s="15">
        <f>IF(OR($E74="",$F74="",$AG74="",$AH74="",$F74&lt;=0),"",($E74-($AG74-$AH74))/$F74)</f>
        <v/>
      </c>
      <c r="H74" s="24" t="n"/>
      <c r="I74" s="25" t="n"/>
      <c r="J74" s="25" t="n"/>
      <c r="K74" s="25" t="n"/>
      <c r="L74" s="25" t="n"/>
      <c r="M74" s="25" t="n"/>
      <c r="N74" s="25" t="n"/>
      <c r="O74" s="25" t="n"/>
      <c r="P74" s="25" t="n"/>
      <c r="Q74" s="25" t="n"/>
      <c r="R74" s="25" t="n"/>
      <c r="S74" s="25" t="n"/>
      <c r="T74" s="25" t="n"/>
      <c r="U74" s="17">
        <f>IF($AN74=0,"",IF($AP74&gt;0,"C：見送り（Must×）",IF($AO74&gt;=2,"C：見送り（×2件以上）",IF($AN74&lt;6,"B：追加情報を取得",IF(AND($AO74=0,$AM74/($AN74*2)&gt;=0.75),"A：進める","B：追加情報を取得")))))</f>
        <v/>
      </c>
      <c r="V74" s="18">
        <f>IF($AN74=0,"",$AM74/($AN74*2))</f>
        <v/>
      </c>
      <c r="W74" s="23" t="n"/>
      <c r="X74" s="20" t="n"/>
      <c r="Y74" s="22" t="n"/>
      <c r="Z74" s="22" t="n"/>
      <c r="AA74" s="20" t="n"/>
      <c r="AB74" s="20" t="n"/>
      <c r="AC74" s="22" t="n"/>
      <c r="AD74" s="23" t="n"/>
      <c r="AE74" s="23" t="n"/>
      <c r="AF74" s="23" t="n"/>
      <c r="AG74" s="24" t="n"/>
      <c r="AH74" s="24" t="n"/>
      <c r="AI74" s="17">
        <f>IF($H74="","",IF($H74&lt;300,"下限未満（対象外）",IF($H74&gt;3000,"上限超（対象外）","範囲内")))</f>
        <v/>
      </c>
      <c r="AJ74" s="15">
        <f>IF(OR($E74="",$F74="",$AG74="",$F74&lt;=0),"",($E74-$AG74)/$F74)</f>
        <v/>
      </c>
      <c r="AK74" s="23" t="n"/>
      <c r="AL74" s="20" t="n"/>
      <c r="AM74" s="21">
        <f>COUNTIF($I74:$T74,"◯")*2+COUNTIF($I74:$T74,"△〜◯")*1.5+COUNTIF($I74:$T74,"△")*1+COUNTIF($I74:$T74,"×〜△")*0.5</f>
        <v/>
      </c>
      <c r="AN74" s="17">
        <f>COUNTIF($I74:$T74,"◯")+COUNTIF($I74:$T74,"△〜◯")+COUNTIF($I74:$T74,"△")+COUNTIF($I74:$T74,"×〜△")+COUNTIF($I74:$T74,"×")</f>
        <v/>
      </c>
      <c r="AO74" s="17">
        <f>COUNTIF($I74:$T74,"×")</f>
        <v/>
      </c>
      <c r="AP74" s="17">
        <f>COUNTIF($I74,"×")+COUNTIF($J74,"×")+COUNTIF($L74,"×")+COUNTIF($O74,"×")</f>
        <v/>
      </c>
    </row>
    <row r="75">
      <c r="A75" s="23" t="n"/>
      <c r="B75" s="23" t="n"/>
      <c r="C75" s="20" t="n"/>
      <c r="D75" s="23" t="n"/>
      <c r="E75" s="24" t="n"/>
      <c r="F75" s="24" t="n"/>
      <c r="G75" s="15">
        <f>IF(OR($E75="",$F75="",$AG75="",$AH75="",$F75&lt;=0),"",($E75-($AG75-$AH75))/$F75)</f>
        <v/>
      </c>
      <c r="H75" s="24" t="n"/>
      <c r="I75" s="25" t="n"/>
      <c r="J75" s="25" t="n"/>
      <c r="K75" s="25" t="n"/>
      <c r="L75" s="25" t="n"/>
      <c r="M75" s="25" t="n"/>
      <c r="N75" s="25" t="n"/>
      <c r="O75" s="25" t="n"/>
      <c r="P75" s="25" t="n"/>
      <c r="Q75" s="25" t="n"/>
      <c r="R75" s="25" t="n"/>
      <c r="S75" s="25" t="n"/>
      <c r="T75" s="25" t="n"/>
      <c r="U75" s="17">
        <f>IF($AN75=0,"",IF($AP75&gt;0,"C：見送り（Must×）",IF($AO75&gt;=2,"C：見送り（×2件以上）",IF($AN75&lt;6,"B：追加情報を取得",IF(AND($AO75=0,$AM75/($AN75*2)&gt;=0.75),"A：進める","B：追加情報を取得")))))</f>
        <v/>
      </c>
      <c r="V75" s="18">
        <f>IF($AN75=0,"",$AM75/($AN75*2))</f>
        <v/>
      </c>
      <c r="W75" s="23" t="n"/>
      <c r="X75" s="20" t="n"/>
      <c r="Y75" s="22" t="n"/>
      <c r="Z75" s="22" t="n"/>
      <c r="AA75" s="20" t="n"/>
      <c r="AB75" s="20" t="n"/>
      <c r="AC75" s="22" t="n"/>
      <c r="AD75" s="23" t="n"/>
      <c r="AE75" s="23" t="n"/>
      <c r="AF75" s="23" t="n"/>
      <c r="AG75" s="24" t="n"/>
      <c r="AH75" s="24" t="n"/>
      <c r="AI75" s="17">
        <f>IF($H75="","",IF($H75&lt;300,"下限未満（対象外）",IF($H75&gt;3000,"上限超（対象外）","範囲内")))</f>
        <v/>
      </c>
      <c r="AJ75" s="15">
        <f>IF(OR($E75="",$F75="",$AG75="",$F75&lt;=0),"",($E75-$AG75)/$F75)</f>
        <v/>
      </c>
      <c r="AK75" s="23" t="n"/>
      <c r="AL75" s="20" t="n"/>
      <c r="AM75" s="21">
        <f>COUNTIF($I75:$T75,"◯")*2+COUNTIF($I75:$T75,"△〜◯")*1.5+COUNTIF($I75:$T75,"△")*1+COUNTIF($I75:$T75,"×〜△")*0.5</f>
        <v/>
      </c>
      <c r="AN75" s="17">
        <f>COUNTIF($I75:$T75,"◯")+COUNTIF($I75:$T75,"△〜◯")+COUNTIF($I75:$T75,"△")+COUNTIF($I75:$T75,"×〜△")+COUNTIF($I75:$T75,"×")</f>
        <v/>
      </c>
      <c r="AO75" s="17">
        <f>COUNTIF($I75:$T75,"×")</f>
        <v/>
      </c>
      <c r="AP75" s="17">
        <f>COUNTIF($I75,"×")+COUNTIF($J75,"×")+COUNTIF($L75,"×")+COUNTIF($O75,"×")</f>
        <v/>
      </c>
    </row>
    <row r="76">
      <c r="A76" s="23" t="n"/>
      <c r="B76" s="23" t="n"/>
      <c r="C76" s="20" t="n"/>
      <c r="D76" s="23" t="n"/>
      <c r="E76" s="24" t="n"/>
      <c r="F76" s="24" t="n"/>
      <c r="G76" s="15">
        <f>IF(OR($E76="",$F76="",$AG76="",$AH76="",$F76&lt;=0),"",($E76-($AG76-$AH76))/$F76)</f>
        <v/>
      </c>
      <c r="H76" s="24" t="n"/>
      <c r="I76" s="25" t="n"/>
      <c r="J76" s="25" t="n"/>
      <c r="K76" s="25" t="n"/>
      <c r="L76" s="25" t="n"/>
      <c r="M76" s="25" t="n"/>
      <c r="N76" s="25" t="n"/>
      <c r="O76" s="25" t="n"/>
      <c r="P76" s="25" t="n"/>
      <c r="Q76" s="25" t="n"/>
      <c r="R76" s="25" t="n"/>
      <c r="S76" s="25" t="n"/>
      <c r="T76" s="25" t="n"/>
      <c r="U76" s="17">
        <f>IF($AN76=0,"",IF($AP76&gt;0,"C：見送り（Must×）",IF($AO76&gt;=2,"C：見送り（×2件以上）",IF($AN76&lt;6,"B：追加情報を取得",IF(AND($AO76=0,$AM76/($AN76*2)&gt;=0.75),"A：進める","B：追加情報を取得")))))</f>
        <v/>
      </c>
      <c r="V76" s="18">
        <f>IF($AN76=0,"",$AM76/($AN76*2))</f>
        <v/>
      </c>
      <c r="W76" s="23" t="n"/>
      <c r="X76" s="20" t="n"/>
      <c r="Y76" s="22" t="n"/>
      <c r="Z76" s="22" t="n"/>
      <c r="AA76" s="20" t="n"/>
      <c r="AB76" s="20" t="n"/>
      <c r="AC76" s="22" t="n"/>
      <c r="AD76" s="23" t="n"/>
      <c r="AE76" s="23" t="n"/>
      <c r="AF76" s="23" t="n"/>
      <c r="AG76" s="24" t="n"/>
      <c r="AH76" s="24" t="n"/>
      <c r="AI76" s="17">
        <f>IF($H76="","",IF($H76&lt;300,"下限未満（対象外）",IF($H76&gt;3000,"上限超（対象外）","範囲内")))</f>
        <v/>
      </c>
      <c r="AJ76" s="15">
        <f>IF(OR($E76="",$F76="",$AG76="",$F76&lt;=0),"",($E76-$AG76)/$F76)</f>
        <v/>
      </c>
      <c r="AK76" s="23" t="n"/>
      <c r="AL76" s="20" t="n"/>
      <c r="AM76" s="21">
        <f>COUNTIF($I76:$T76,"◯")*2+COUNTIF($I76:$T76,"△〜◯")*1.5+COUNTIF($I76:$T76,"△")*1+COUNTIF($I76:$T76,"×〜△")*0.5</f>
        <v/>
      </c>
      <c r="AN76" s="17">
        <f>COUNTIF($I76:$T76,"◯")+COUNTIF($I76:$T76,"△〜◯")+COUNTIF($I76:$T76,"△")+COUNTIF($I76:$T76,"×〜△")+COUNTIF($I76:$T76,"×")</f>
        <v/>
      </c>
      <c r="AO76" s="17">
        <f>COUNTIF($I76:$T76,"×")</f>
        <v/>
      </c>
      <c r="AP76" s="17">
        <f>COUNTIF($I76,"×")+COUNTIF($J76,"×")+COUNTIF($L76,"×")+COUNTIF($O76,"×")</f>
        <v/>
      </c>
    </row>
    <row r="77">
      <c r="A77" s="23" t="n"/>
      <c r="B77" s="23" t="n"/>
      <c r="C77" s="20" t="n"/>
      <c r="D77" s="23" t="n"/>
      <c r="E77" s="24" t="n"/>
      <c r="F77" s="24" t="n"/>
      <c r="G77" s="15">
        <f>IF(OR($E77="",$F77="",$AG77="",$AH77="",$F77&lt;=0),"",($E77-($AG77-$AH77))/$F77)</f>
        <v/>
      </c>
      <c r="H77" s="24" t="n"/>
      <c r="I77" s="25" t="n"/>
      <c r="J77" s="25" t="n"/>
      <c r="K77" s="25" t="n"/>
      <c r="L77" s="25" t="n"/>
      <c r="M77" s="25" t="n"/>
      <c r="N77" s="25" t="n"/>
      <c r="O77" s="25" t="n"/>
      <c r="P77" s="25" t="n"/>
      <c r="Q77" s="25" t="n"/>
      <c r="R77" s="25" t="n"/>
      <c r="S77" s="25" t="n"/>
      <c r="T77" s="25" t="n"/>
      <c r="U77" s="17">
        <f>IF($AN77=0,"",IF($AP77&gt;0,"C：見送り（Must×）",IF($AO77&gt;=2,"C：見送り（×2件以上）",IF($AN77&lt;6,"B：追加情報を取得",IF(AND($AO77=0,$AM77/($AN77*2)&gt;=0.75),"A：進める","B：追加情報を取得")))))</f>
        <v/>
      </c>
      <c r="V77" s="18">
        <f>IF($AN77=0,"",$AM77/($AN77*2))</f>
        <v/>
      </c>
      <c r="W77" s="23" t="n"/>
      <c r="X77" s="20" t="n"/>
      <c r="Y77" s="22" t="n"/>
      <c r="Z77" s="22" t="n"/>
      <c r="AA77" s="20" t="n"/>
      <c r="AB77" s="20" t="n"/>
      <c r="AC77" s="22" t="n"/>
      <c r="AD77" s="23" t="n"/>
      <c r="AE77" s="23" t="n"/>
      <c r="AF77" s="23" t="n"/>
      <c r="AG77" s="24" t="n"/>
      <c r="AH77" s="24" t="n"/>
      <c r="AI77" s="17">
        <f>IF($H77="","",IF($H77&lt;300,"下限未満（対象外）",IF($H77&gt;3000,"上限超（対象外）","範囲内")))</f>
        <v/>
      </c>
      <c r="AJ77" s="15">
        <f>IF(OR($E77="",$F77="",$AG77="",$F77&lt;=0),"",($E77-$AG77)/$F77)</f>
        <v/>
      </c>
      <c r="AK77" s="23" t="n"/>
      <c r="AL77" s="20" t="n"/>
      <c r="AM77" s="21">
        <f>COUNTIF($I77:$T77,"◯")*2+COUNTIF($I77:$T77,"△〜◯")*1.5+COUNTIF($I77:$T77,"△")*1+COUNTIF($I77:$T77,"×〜△")*0.5</f>
        <v/>
      </c>
      <c r="AN77" s="17">
        <f>COUNTIF($I77:$T77,"◯")+COUNTIF($I77:$T77,"△〜◯")+COUNTIF($I77:$T77,"△")+COUNTIF($I77:$T77,"×〜△")+COUNTIF($I77:$T77,"×")</f>
        <v/>
      </c>
      <c r="AO77" s="17">
        <f>COUNTIF($I77:$T77,"×")</f>
        <v/>
      </c>
      <c r="AP77" s="17">
        <f>COUNTIF($I77,"×")+COUNTIF($J77,"×")+COUNTIF($L77,"×")+COUNTIF($O77,"×")</f>
        <v/>
      </c>
    </row>
    <row r="78">
      <c r="A78" s="23" t="n"/>
      <c r="B78" s="23" t="n"/>
      <c r="C78" s="20" t="n"/>
      <c r="D78" s="23" t="n"/>
      <c r="E78" s="24" t="n"/>
      <c r="F78" s="24" t="n"/>
      <c r="G78" s="15">
        <f>IF(OR($E78="",$F78="",$AG78="",$AH78="",$F78&lt;=0),"",($E78-($AG78-$AH78))/$F78)</f>
        <v/>
      </c>
      <c r="H78" s="24" t="n"/>
      <c r="I78" s="25" t="n"/>
      <c r="J78" s="25" t="n"/>
      <c r="K78" s="25" t="n"/>
      <c r="L78" s="25" t="n"/>
      <c r="M78" s="25" t="n"/>
      <c r="N78" s="25" t="n"/>
      <c r="O78" s="25" t="n"/>
      <c r="P78" s="25" t="n"/>
      <c r="Q78" s="25" t="n"/>
      <c r="R78" s="25" t="n"/>
      <c r="S78" s="25" t="n"/>
      <c r="T78" s="25" t="n"/>
      <c r="U78" s="17">
        <f>IF($AN78=0,"",IF($AP78&gt;0,"C：見送り（Must×）",IF($AO78&gt;=2,"C：見送り（×2件以上）",IF($AN78&lt;6,"B：追加情報を取得",IF(AND($AO78=0,$AM78/($AN78*2)&gt;=0.75),"A：進める","B：追加情報を取得")))))</f>
        <v/>
      </c>
      <c r="V78" s="18">
        <f>IF($AN78=0,"",$AM78/($AN78*2))</f>
        <v/>
      </c>
      <c r="W78" s="23" t="n"/>
      <c r="X78" s="20" t="n"/>
      <c r="Y78" s="22" t="n"/>
      <c r="Z78" s="22" t="n"/>
      <c r="AA78" s="20" t="n"/>
      <c r="AB78" s="20" t="n"/>
      <c r="AC78" s="22" t="n"/>
      <c r="AD78" s="23" t="n"/>
      <c r="AE78" s="23" t="n"/>
      <c r="AF78" s="23" t="n"/>
      <c r="AG78" s="24" t="n"/>
      <c r="AH78" s="24" t="n"/>
      <c r="AI78" s="17">
        <f>IF($H78="","",IF($H78&lt;300,"下限未満（対象外）",IF($H78&gt;3000,"上限超（対象外）","範囲内")))</f>
        <v/>
      </c>
      <c r="AJ78" s="15">
        <f>IF(OR($E78="",$F78="",$AG78="",$F78&lt;=0),"",($E78-$AG78)/$F78)</f>
        <v/>
      </c>
      <c r="AK78" s="23" t="n"/>
      <c r="AL78" s="20" t="n"/>
      <c r="AM78" s="21">
        <f>COUNTIF($I78:$T78,"◯")*2+COUNTIF($I78:$T78,"△〜◯")*1.5+COUNTIF($I78:$T78,"△")*1+COUNTIF($I78:$T78,"×〜△")*0.5</f>
        <v/>
      </c>
      <c r="AN78" s="17">
        <f>COUNTIF($I78:$T78,"◯")+COUNTIF($I78:$T78,"△〜◯")+COUNTIF($I78:$T78,"△")+COUNTIF($I78:$T78,"×〜△")+COUNTIF($I78:$T78,"×")</f>
        <v/>
      </c>
      <c r="AO78" s="17">
        <f>COUNTIF($I78:$T78,"×")</f>
        <v/>
      </c>
      <c r="AP78" s="17">
        <f>COUNTIF($I78,"×")+COUNTIF($J78,"×")+COUNTIF($L78,"×")+COUNTIF($O78,"×")</f>
        <v/>
      </c>
    </row>
    <row r="79">
      <c r="A79" s="23" t="n"/>
      <c r="B79" s="23" t="n"/>
      <c r="C79" s="20" t="n"/>
      <c r="D79" s="23" t="n"/>
      <c r="E79" s="24" t="n"/>
      <c r="F79" s="24" t="n"/>
      <c r="G79" s="15">
        <f>IF(OR($E79="",$F79="",$AG79="",$AH79="",$F79&lt;=0),"",($E79-($AG79-$AH79))/$F79)</f>
        <v/>
      </c>
      <c r="H79" s="24" t="n"/>
      <c r="I79" s="25" t="n"/>
      <c r="J79" s="25" t="n"/>
      <c r="K79" s="25" t="n"/>
      <c r="L79" s="25" t="n"/>
      <c r="M79" s="25" t="n"/>
      <c r="N79" s="25" t="n"/>
      <c r="O79" s="25" t="n"/>
      <c r="P79" s="25" t="n"/>
      <c r="Q79" s="25" t="n"/>
      <c r="R79" s="25" t="n"/>
      <c r="S79" s="25" t="n"/>
      <c r="T79" s="25" t="n"/>
      <c r="U79" s="17">
        <f>IF($AN79=0,"",IF($AP79&gt;0,"C：見送り（Must×）",IF($AO79&gt;=2,"C：見送り（×2件以上）",IF($AN79&lt;6,"B：追加情報を取得",IF(AND($AO79=0,$AM79/($AN79*2)&gt;=0.75),"A：進める","B：追加情報を取得")))))</f>
        <v/>
      </c>
      <c r="V79" s="18">
        <f>IF($AN79=0,"",$AM79/($AN79*2))</f>
        <v/>
      </c>
      <c r="W79" s="23" t="n"/>
      <c r="X79" s="20" t="n"/>
      <c r="Y79" s="22" t="n"/>
      <c r="Z79" s="22" t="n"/>
      <c r="AA79" s="20" t="n"/>
      <c r="AB79" s="20" t="n"/>
      <c r="AC79" s="22" t="n"/>
      <c r="AD79" s="23" t="n"/>
      <c r="AE79" s="23" t="n"/>
      <c r="AF79" s="23" t="n"/>
      <c r="AG79" s="24" t="n"/>
      <c r="AH79" s="24" t="n"/>
      <c r="AI79" s="17">
        <f>IF($H79="","",IF($H79&lt;300,"下限未満（対象外）",IF($H79&gt;3000,"上限超（対象外）","範囲内")))</f>
        <v/>
      </c>
      <c r="AJ79" s="15">
        <f>IF(OR($E79="",$F79="",$AG79="",$F79&lt;=0),"",($E79-$AG79)/$F79)</f>
        <v/>
      </c>
      <c r="AK79" s="23" t="n"/>
      <c r="AL79" s="20" t="n"/>
      <c r="AM79" s="21">
        <f>COUNTIF($I79:$T79,"◯")*2+COUNTIF($I79:$T79,"△〜◯")*1.5+COUNTIF($I79:$T79,"△")*1+COUNTIF($I79:$T79,"×〜△")*0.5</f>
        <v/>
      </c>
      <c r="AN79" s="17">
        <f>COUNTIF($I79:$T79,"◯")+COUNTIF($I79:$T79,"△〜◯")+COUNTIF($I79:$T79,"△")+COUNTIF($I79:$T79,"×〜△")+COUNTIF($I79:$T79,"×")</f>
        <v/>
      </c>
      <c r="AO79" s="17">
        <f>COUNTIF($I79:$T79,"×")</f>
        <v/>
      </c>
      <c r="AP79" s="17">
        <f>COUNTIF($I79,"×")+COUNTIF($J79,"×")+COUNTIF($L79,"×")+COUNTIF($O79,"×")</f>
        <v/>
      </c>
    </row>
    <row r="80">
      <c r="A80" s="23" t="n"/>
      <c r="B80" s="23" t="n"/>
      <c r="C80" s="20" t="n"/>
      <c r="D80" s="23" t="n"/>
      <c r="E80" s="24" t="n"/>
      <c r="F80" s="24" t="n"/>
      <c r="G80" s="15">
        <f>IF(OR($E80="",$F80="",$AG80="",$AH80="",$F80&lt;=0),"",($E80-($AG80-$AH80))/$F80)</f>
        <v/>
      </c>
      <c r="H80" s="24" t="n"/>
      <c r="I80" s="25" t="n"/>
      <c r="J80" s="25" t="n"/>
      <c r="K80" s="25" t="n"/>
      <c r="L80" s="25" t="n"/>
      <c r="M80" s="25" t="n"/>
      <c r="N80" s="25" t="n"/>
      <c r="O80" s="25" t="n"/>
      <c r="P80" s="25" t="n"/>
      <c r="Q80" s="25" t="n"/>
      <c r="R80" s="25" t="n"/>
      <c r="S80" s="25" t="n"/>
      <c r="T80" s="25" t="n"/>
      <c r="U80" s="17">
        <f>IF($AN80=0,"",IF($AP80&gt;0,"C：見送り（Must×）",IF($AO80&gt;=2,"C：見送り（×2件以上）",IF($AN80&lt;6,"B：追加情報を取得",IF(AND($AO80=0,$AM80/($AN80*2)&gt;=0.75),"A：進める","B：追加情報を取得")))))</f>
        <v/>
      </c>
      <c r="V80" s="18">
        <f>IF($AN80=0,"",$AM80/($AN80*2))</f>
        <v/>
      </c>
      <c r="W80" s="23" t="n"/>
      <c r="X80" s="20" t="n"/>
      <c r="Y80" s="22" t="n"/>
      <c r="Z80" s="22" t="n"/>
      <c r="AA80" s="20" t="n"/>
      <c r="AB80" s="20" t="n"/>
      <c r="AC80" s="22" t="n"/>
      <c r="AD80" s="23" t="n"/>
      <c r="AE80" s="23" t="n"/>
      <c r="AF80" s="23" t="n"/>
      <c r="AG80" s="24" t="n"/>
      <c r="AH80" s="24" t="n"/>
      <c r="AI80" s="17">
        <f>IF($H80="","",IF($H80&lt;300,"下限未満（対象外）",IF($H80&gt;3000,"上限超（対象外）","範囲内")))</f>
        <v/>
      </c>
      <c r="AJ80" s="15">
        <f>IF(OR($E80="",$F80="",$AG80="",$F80&lt;=0),"",($E80-$AG80)/$F80)</f>
        <v/>
      </c>
      <c r="AK80" s="23" t="n"/>
      <c r="AL80" s="20" t="n"/>
      <c r="AM80" s="21">
        <f>COUNTIF($I80:$T80,"◯")*2+COUNTIF($I80:$T80,"△〜◯")*1.5+COUNTIF($I80:$T80,"△")*1+COUNTIF($I80:$T80,"×〜△")*0.5</f>
        <v/>
      </c>
      <c r="AN80" s="17">
        <f>COUNTIF($I80:$T80,"◯")+COUNTIF($I80:$T80,"△〜◯")+COUNTIF($I80:$T80,"△")+COUNTIF($I80:$T80,"×〜△")+COUNTIF($I80:$T80,"×")</f>
        <v/>
      </c>
      <c r="AO80" s="17">
        <f>COUNTIF($I80:$T80,"×")</f>
        <v/>
      </c>
      <c r="AP80" s="17">
        <f>COUNTIF($I80,"×")+COUNTIF($J80,"×")+COUNTIF($L80,"×")+COUNTIF($O80,"×")</f>
        <v/>
      </c>
    </row>
    <row r="81">
      <c r="A81" s="23" t="n"/>
      <c r="B81" s="23" t="n"/>
      <c r="C81" s="20" t="n"/>
      <c r="D81" s="23" t="n"/>
      <c r="E81" s="24" t="n"/>
      <c r="F81" s="24" t="n"/>
      <c r="G81" s="15">
        <f>IF(OR($E81="",$F81="",$AG81="",$AH81="",$F81&lt;=0),"",($E81-($AG81-$AH81))/$F81)</f>
        <v/>
      </c>
      <c r="H81" s="24" t="n"/>
      <c r="I81" s="25" t="n"/>
      <c r="J81" s="25" t="n"/>
      <c r="K81" s="25" t="n"/>
      <c r="L81" s="25" t="n"/>
      <c r="M81" s="25" t="n"/>
      <c r="N81" s="25" t="n"/>
      <c r="O81" s="25" t="n"/>
      <c r="P81" s="25" t="n"/>
      <c r="Q81" s="25" t="n"/>
      <c r="R81" s="25" t="n"/>
      <c r="S81" s="25" t="n"/>
      <c r="T81" s="25" t="n"/>
      <c r="U81" s="17">
        <f>IF($AN81=0,"",IF($AP81&gt;0,"C：見送り（Must×）",IF($AO81&gt;=2,"C：見送り（×2件以上）",IF($AN81&lt;6,"B：追加情報を取得",IF(AND($AO81=0,$AM81/($AN81*2)&gt;=0.75),"A：進める","B：追加情報を取得")))))</f>
        <v/>
      </c>
      <c r="V81" s="18">
        <f>IF($AN81=0,"",$AM81/($AN81*2))</f>
        <v/>
      </c>
      <c r="W81" s="23" t="n"/>
      <c r="X81" s="20" t="n"/>
      <c r="Y81" s="22" t="n"/>
      <c r="Z81" s="22" t="n"/>
      <c r="AA81" s="20" t="n"/>
      <c r="AB81" s="20" t="n"/>
      <c r="AC81" s="22" t="n"/>
      <c r="AD81" s="23" t="n"/>
      <c r="AE81" s="23" t="n"/>
      <c r="AF81" s="23" t="n"/>
      <c r="AG81" s="24" t="n"/>
      <c r="AH81" s="24" t="n"/>
      <c r="AI81" s="17">
        <f>IF($H81="","",IF($H81&lt;300,"下限未満（対象外）",IF($H81&gt;3000,"上限超（対象外）","範囲内")))</f>
        <v/>
      </c>
      <c r="AJ81" s="15">
        <f>IF(OR($E81="",$F81="",$AG81="",$F81&lt;=0),"",($E81-$AG81)/$F81)</f>
        <v/>
      </c>
      <c r="AK81" s="23" t="n"/>
      <c r="AL81" s="20" t="n"/>
      <c r="AM81" s="21">
        <f>COUNTIF($I81:$T81,"◯")*2+COUNTIF($I81:$T81,"△〜◯")*1.5+COUNTIF($I81:$T81,"△")*1+COUNTIF($I81:$T81,"×〜△")*0.5</f>
        <v/>
      </c>
      <c r="AN81" s="17">
        <f>COUNTIF($I81:$T81,"◯")+COUNTIF($I81:$T81,"△〜◯")+COUNTIF($I81:$T81,"△")+COUNTIF($I81:$T81,"×〜△")+COUNTIF($I81:$T81,"×")</f>
        <v/>
      </c>
      <c r="AO81" s="17">
        <f>COUNTIF($I81:$T81,"×")</f>
        <v/>
      </c>
      <c r="AP81" s="17">
        <f>COUNTIF($I81,"×")+COUNTIF($J81,"×")+COUNTIF($L81,"×")+COUNTIF($O81,"×")</f>
        <v/>
      </c>
    </row>
    <row r="82">
      <c r="A82" s="23" t="n"/>
      <c r="B82" s="23" t="n"/>
      <c r="C82" s="20" t="n"/>
      <c r="D82" s="23" t="n"/>
      <c r="E82" s="24" t="n"/>
      <c r="F82" s="24" t="n"/>
      <c r="G82" s="15">
        <f>IF(OR($E82="",$F82="",$AG82="",$AH82="",$F82&lt;=0),"",($E82-($AG82-$AH82))/$F82)</f>
        <v/>
      </c>
      <c r="H82" s="24" t="n"/>
      <c r="I82" s="25" t="n"/>
      <c r="J82" s="25" t="n"/>
      <c r="K82" s="25" t="n"/>
      <c r="L82" s="25" t="n"/>
      <c r="M82" s="25" t="n"/>
      <c r="N82" s="25" t="n"/>
      <c r="O82" s="25" t="n"/>
      <c r="P82" s="25" t="n"/>
      <c r="Q82" s="25" t="n"/>
      <c r="R82" s="25" t="n"/>
      <c r="S82" s="25" t="n"/>
      <c r="T82" s="25" t="n"/>
      <c r="U82" s="17">
        <f>IF($AN82=0,"",IF($AP82&gt;0,"C：見送り（Must×）",IF($AO82&gt;=2,"C：見送り（×2件以上）",IF($AN82&lt;6,"B：追加情報を取得",IF(AND($AO82=0,$AM82/($AN82*2)&gt;=0.75),"A：進める","B：追加情報を取得")))))</f>
        <v/>
      </c>
      <c r="V82" s="18">
        <f>IF($AN82=0,"",$AM82/($AN82*2))</f>
        <v/>
      </c>
      <c r="W82" s="23" t="n"/>
      <c r="X82" s="20" t="n"/>
      <c r="Y82" s="22" t="n"/>
      <c r="Z82" s="22" t="n"/>
      <c r="AA82" s="20" t="n"/>
      <c r="AB82" s="20" t="n"/>
      <c r="AC82" s="22" t="n"/>
      <c r="AD82" s="23" t="n"/>
      <c r="AE82" s="23" t="n"/>
      <c r="AF82" s="23" t="n"/>
      <c r="AG82" s="24" t="n"/>
      <c r="AH82" s="24" t="n"/>
      <c r="AI82" s="17">
        <f>IF($H82="","",IF($H82&lt;300,"下限未満（対象外）",IF($H82&gt;3000,"上限超（対象外）","範囲内")))</f>
        <v/>
      </c>
      <c r="AJ82" s="15">
        <f>IF(OR($E82="",$F82="",$AG82="",$F82&lt;=0),"",($E82-$AG82)/$F82)</f>
        <v/>
      </c>
      <c r="AK82" s="23" t="n"/>
      <c r="AL82" s="20" t="n"/>
      <c r="AM82" s="21">
        <f>COUNTIF($I82:$T82,"◯")*2+COUNTIF($I82:$T82,"△〜◯")*1.5+COUNTIF($I82:$T82,"△")*1+COUNTIF($I82:$T82,"×〜△")*0.5</f>
        <v/>
      </c>
      <c r="AN82" s="17">
        <f>COUNTIF($I82:$T82,"◯")+COUNTIF($I82:$T82,"△〜◯")+COUNTIF($I82:$T82,"△")+COUNTIF($I82:$T82,"×〜△")+COUNTIF($I82:$T82,"×")</f>
        <v/>
      </c>
      <c r="AO82" s="17">
        <f>COUNTIF($I82:$T82,"×")</f>
        <v/>
      </c>
      <c r="AP82" s="17">
        <f>COUNTIF($I82,"×")+COUNTIF($J82,"×")+COUNTIF($L82,"×")+COUNTIF($O82,"×")</f>
        <v/>
      </c>
    </row>
    <row r="83">
      <c r="A83" s="23" t="n"/>
      <c r="B83" s="23" t="n"/>
      <c r="C83" s="20" t="n"/>
      <c r="D83" s="23" t="n"/>
      <c r="E83" s="24" t="n"/>
      <c r="F83" s="24" t="n"/>
      <c r="G83" s="15">
        <f>IF(OR($E83="",$F83="",$AG83="",$AH83="",$F83&lt;=0),"",($E83-($AG83-$AH83))/$F83)</f>
        <v/>
      </c>
      <c r="H83" s="24" t="n"/>
      <c r="I83" s="25" t="n"/>
      <c r="J83" s="25" t="n"/>
      <c r="K83" s="25" t="n"/>
      <c r="L83" s="25" t="n"/>
      <c r="M83" s="25" t="n"/>
      <c r="N83" s="25" t="n"/>
      <c r="O83" s="25" t="n"/>
      <c r="P83" s="25" t="n"/>
      <c r="Q83" s="25" t="n"/>
      <c r="R83" s="25" t="n"/>
      <c r="S83" s="25" t="n"/>
      <c r="T83" s="25" t="n"/>
      <c r="U83" s="17">
        <f>IF($AN83=0,"",IF($AP83&gt;0,"C：見送り（Must×）",IF($AO83&gt;=2,"C：見送り（×2件以上）",IF($AN83&lt;6,"B：追加情報を取得",IF(AND($AO83=0,$AM83/($AN83*2)&gt;=0.75),"A：進める","B：追加情報を取得")))))</f>
        <v/>
      </c>
      <c r="V83" s="18">
        <f>IF($AN83=0,"",$AM83/($AN83*2))</f>
        <v/>
      </c>
      <c r="W83" s="23" t="n"/>
      <c r="X83" s="20" t="n"/>
      <c r="Y83" s="22" t="n"/>
      <c r="Z83" s="22" t="n"/>
      <c r="AA83" s="20" t="n"/>
      <c r="AB83" s="20" t="n"/>
      <c r="AC83" s="22" t="n"/>
      <c r="AD83" s="23" t="n"/>
      <c r="AE83" s="23" t="n"/>
      <c r="AF83" s="23" t="n"/>
      <c r="AG83" s="24" t="n"/>
      <c r="AH83" s="24" t="n"/>
      <c r="AI83" s="17">
        <f>IF($H83="","",IF($H83&lt;300,"下限未満（対象外）",IF($H83&gt;3000,"上限超（対象外）","範囲内")))</f>
        <v/>
      </c>
      <c r="AJ83" s="15">
        <f>IF(OR($E83="",$F83="",$AG83="",$F83&lt;=0),"",($E83-$AG83)/$F83)</f>
        <v/>
      </c>
      <c r="AK83" s="23" t="n"/>
      <c r="AL83" s="20" t="n"/>
      <c r="AM83" s="21">
        <f>COUNTIF($I83:$T83,"◯")*2+COUNTIF($I83:$T83,"△〜◯")*1.5+COUNTIF($I83:$T83,"△")*1+COUNTIF($I83:$T83,"×〜△")*0.5</f>
        <v/>
      </c>
      <c r="AN83" s="17">
        <f>COUNTIF($I83:$T83,"◯")+COUNTIF($I83:$T83,"△〜◯")+COUNTIF($I83:$T83,"△")+COUNTIF($I83:$T83,"×〜△")+COUNTIF($I83:$T83,"×")</f>
        <v/>
      </c>
      <c r="AO83" s="17">
        <f>COUNTIF($I83:$T83,"×")</f>
        <v/>
      </c>
      <c r="AP83" s="17">
        <f>COUNTIF($I83,"×")+COUNTIF($J83,"×")+COUNTIF($L83,"×")+COUNTIF($O83,"×")</f>
        <v/>
      </c>
    </row>
    <row r="84">
      <c r="A84" s="23" t="n"/>
      <c r="B84" s="23" t="n"/>
      <c r="C84" s="20" t="n"/>
      <c r="D84" s="23" t="n"/>
      <c r="E84" s="24" t="n"/>
      <c r="F84" s="24" t="n"/>
      <c r="G84" s="15">
        <f>IF(OR($E84="",$F84="",$AG84="",$AH84="",$F84&lt;=0),"",($E84-($AG84-$AH84))/$F84)</f>
        <v/>
      </c>
      <c r="H84" s="24" t="n"/>
      <c r="I84" s="25" t="n"/>
      <c r="J84" s="25" t="n"/>
      <c r="K84" s="25" t="n"/>
      <c r="L84" s="25" t="n"/>
      <c r="M84" s="25" t="n"/>
      <c r="N84" s="25" t="n"/>
      <c r="O84" s="25" t="n"/>
      <c r="P84" s="25" t="n"/>
      <c r="Q84" s="25" t="n"/>
      <c r="R84" s="25" t="n"/>
      <c r="S84" s="25" t="n"/>
      <c r="T84" s="25" t="n"/>
      <c r="U84" s="17">
        <f>IF($AN84=0,"",IF($AP84&gt;0,"C：見送り（Must×）",IF($AO84&gt;=2,"C：見送り（×2件以上）",IF($AN84&lt;6,"B：追加情報を取得",IF(AND($AO84=0,$AM84/($AN84*2)&gt;=0.75),"A：進める","B：追加情報を取得")))))</f>
        <v/>
      </c>
      <c r="V84" s="18">
        <f>IF($AN84=0,"",$AM84/($AN84*2))</f>
        <v/>
      </c>
      <c r="W84" s="23" t="n"/>
      <c r="X84" s="20" t="n"/>
      <c r="Y84" s="22" t="n"/>
      <c r="Z84" s="22" t="n"/>
      <c r="AA84" s="20" t="n"/>
      <c r="AB84" s="20" t="n"/>
      <c r="AC84" s="22" t="n"/>
      <c r="AD84" s="23" t="n"/>
      <c r="AE84" s="23" t="n"/>
      <c r="AF84" s="23" t="n"/>
      <c r="AG84" s="24" t="n"/>
      <c r="AH84" s="24" t="n"/>
      <c r="AI84" s="17">
        <f>IF($H84="","",IF($H84&lt;300,"下限未満（対象外）",IF($H84&gt;3000,"上限超（対象外）","範囲内")))</f>
        <v/>
      </c>
      <c r="AJ84" s="15">
        <f>IF(OR($E84="",$F84="",$AG84="",$F84&lt;=0),"",($E84-$AG84)/$F84)</f>
        <v/>
      </c>
      <c r="AK84" s="23" t="n"/>
      <c r="AL84" s="20" t="n"/>
      <c r="AM84" s="21">
        <f>COUNTIF($I84:$T84,"◯")*2+COUNTIF($I84:$T84,"△〜◯")*1.5+COUNTIF($I84:$T84,"△")*1+COUNTIF($I84:$T84,"×〜△")*0.5</f>
        <v/>
      </c>
      <c r="AN84" s="17">
        <f>COUNTIF($I84:$T84,"◯")+COUNTIF($I84:$T84,"△〜◯")+COUNTIF($I84:$T84,"△")+COUNTIF($I84:$T84,"×〜△")+COUNTIF($I84:$T84,"×")</f>
        <v/>
      </c>
      <c r="AO84" s="17">
        <f>COUNTIF($I84:$T84,"×")</f>
        <v/>
      </c>
      <c r="AP84" s="17">
        <f>COUNTIF($I84,"×")+COUNTIF($J84,"×")+COUNTIF($L84,"×")+COUNTIF($O84,"×")</f>
        <v/>
      </c>
    </row>
    <row r="85">
      <c r="A85" s="23" t="n"/>
      <c r="B85" s="23" t="n"/>
      <c r="C85" s="20" t="n"/>
      <c r="D85" s="23" t="n"/>
      <c r="E85" s="24" t="n"/>
      <c r="F85" s="24" t="n"/>
      <c r="G85" s="15">
        <f>IF(OR($E85="",$F85="",$AG85="",$AH85="",$F85&lt;=0),"",($E85-($AG85-$AH85))/$F85)</f>
        <v/>
      </c>
      <c r="H85" s="24" t="n"/>
      <c r="I85" s="25" t="n"/>
      <c r="J85" s="25" t="n"/>
      <c r="K85" s="25" t="n"/>
      <c r="L85" s="25" t="n"/>
      <c r="M85" s="25" t="n"/>
      <c r="N85" s="25" t="n"/>
      <c r="O85" s="25" t="n"/>
      <c r="P85" s="25" t="n"/>
      <c r="Q85" s="25" t="n"/>
      <c r="R85" s="25" t="n"/>
      <c r="S85" s="25" t="n"/>
      <c r="T85" s="25" t="n"/>
      <c r="U85" s="17">
        <f>IF($AN85=0,"",IF($AP85&gt;0,"C：見送り（Must×）",IF($AO85&gt;=2,"C：見送り（×2件以上）",IF($AN85&lt;6,"B：追加情報を取得",IF(AND($AO85=0,$AM85/($AN85*2)&gt;=0.75),"A：進める","B：追加情報を取得")))))</f>
        <v/>
      </c>
      <c r="V85" s="18">
        <f>IF($AN85=0,"",$AM85/($AN85*2))</f>
        <v/>
      </c>
      <c r="W85" s="23" t="n"/>
      <c r="X85" s="20" t="n"/>
      <c r="Y85" s="22" t="n"/>
      <c r="Z85" s="22" t="n"/>
      <c r="AA85" s="20" t="n"/>
      <c r="AB85" s="20" t="n"/>
      <c r="AC85" s="22" t="n"/>
      <c r="AD85" s="23" t="n"/>
      <c r="AE85" s="23" t="n"/>
      <c r="AF85" s="23" t="n"/>
      <c r="AG85" s="24" t="n"/>
      <c r="AH85" s="24" t="n"/>
      <c r="AI85" s="17">
        <f>IF($H85="","",IF($H85&lt;300,"下限未満（対象外）",IF($H85&gt;3000,"上限超（対象外）","範囲内")))</f>
        <v/>
      </c>
      <c r="AJ85" s="15">
        <f>IF(OR($E85="",$F85="",$AG85="",$F85&lt;=0),"",($E85-$AG85)/$F85)</f>
        <v/>
      </c>
      <c r="AK85" s="23" t="n"/>
      <c r="AL85" s="20" t="n"/>
      <c r="AM85" s="21">
        <f>COUNTIF($I85:$T85,"◯")*2+COUNTIF($I85:$T85,"△〜◯")*1.5+COUNTIF($I85:$T85,"△")*1+COUNTIF($I85:$T85,"×〜△")*0.5</f>
        <v/>
      </c>
      <c r="AN85" s="17">
        <f>COUNTIF($I85:$T85,"◯")+COUNTIF($I85:$T85,"△〜◯")+COUNTIF($I85:$T85,"△")+COUNTIF($I85:$T85,"×〜△")+COUNTIF($I85:$T85,"×")</f>
        <v/>
      </c>
      <c r="AO85" s="17">
        <f>COUNTIF($I85:$T85,"×")</f>
        <v/>
      </c>
      <c r="AP85" s="17">
        <f>COUNTIF($I85,"×")+COUNTIF($J85,"×")+COUNTIF($L85,"×")+COUNTIF($O85,"×")</f>
        <v/>
      </c>
    </row>
    <row r="86">
      <c r="A86" s="23" t="n"/>
      <c r="B86" s="23" t="n"/>
      <c r="C86" s="20" t="n"/>
      <c r="D86" s="23" t="n"/>
      <c r="E86" s="24" t="n"/>
      <c r="F86" s="24" t="n"/>
      <c r="G86" s="15">
        <f>IF(OR($E86="",$F86="",$AG86="",$AH86="",$F86&lt;=0),"",($E86-($AG86-$AH86))/$F86)</f>
        <v/>
      </c>
      <c r="H86" s="24" t="n"/>
      <c r="I86" s="25" t="n"/>
      <c r="J86" s="25" t="n"/>
      <c r="K86" s="25" t="n"/>
      <c r="L86" s="25" t="n"/>
      <c r="M86" s="25" t="n"/>
      <c r="N86" s="25" t="n"/>
      <c r="O86" s="25" t="n"/>
      <c r="P86" s="25" t="n"/>
      <c r="Q86" s="25" t="n"/>
      <c r="R86" s="25" t="n"/>
      <c r="S86" s="25" t="n"/>
      <c r="T86" s="25" t="n"/>
      <c r="U86" s="17">
        <f>IF($AN86=0,"",IF($AP86&gt;0,"C：見送り（Must×）",IF($AO86&gt;=2,"C：見送り（×2件以上）",IF($AN86&lt;6,"B：追加情報を取得",IF(AND($AO86=0,$AM86/($AN86*2)&gt;=0.75),"A：進める","B：追加情報を取得")))))</f>
        <v/>
      </c>
      <c r="V86" s="18">
        <f>IF($AN86=0,"",$AM86/($AN86*2))</f>
        <v/>
      </c>
      <c r="W86" s="23" t="n"/>
      <c r="X86" s="20" t="n"/>
      <c r="Y86" s="22" t="n"/>
      <c r="Z86" s="22" t="n"/>
      <c r="AA86" s="20" t="n"/>
      <c r="AB86" s="20" t="n"/>
      <c r="AC86" s="22" t="n"/>
      <c r="AD86" s="23" t="n"/>
      <c r="AE86" s="23" t="n"/>
      <c r="AF86" s="23" t="n"/>
      <c r="AG86" s="24" t="n"/>
      <c r="AH86" s="24" t="n"/>
      <c r="AI86" s="17">
        <f>IF($H86="","",IF($H86&lt;300,"下限未満（対象外）",IF($H86&gt;3000,"上限超（対象外）","範囲内")))</f>
        <v/>
      </c>
      <c r="AJ86" s="15">
        <f>IF(OR($E86="",$F86="",$AG86="",$F86&lt;=0),"",($E86-$AG86)/$F86)</f>
        <v/>
      </c>
      <c r="AK86" s="23" t="n"/>
      <c r="AL86" s="20" t="n"/>
      <c r="AM86" s="21">
        <f>COUNTIF($I86:$T86,"◯")*2+COUNTIF($I86:$T86,"△〜◯")*1.5+COUNTIF($I86:$T86,"△")*1+COUNTIF($I86:$T86,"×〜△")*0.5</f>
        <v/>
      </c>
      <c r="AN86" s="17">
        <f>COUNTIF($I86:$T86,"◯")+COUNTIF($I86:$T86,"△〜◯")+COUNTIF($I86:$T86,"△")+COUNTIF($I86:$T86,"×〜△")+COUNTIF($I86:$T86,"×")</f>
        <v/>
      </c>
      <c r="AO86" s="17">
        <f>COUNTIF($I86:$T86,"×")</f>
        <v/>
      </c>
      <c r="AP86" s="17">
        <f>COUNTIF($I86,"×")+COUNTIF($J86,"×")+COUNTIF($L86,"×")+COUNTIF($O86,"×")</f>
        <v/>
      </c>
    </row>
    <row r="87">
      <c r="A87" s="23" t="n"/>
      <c r="B87" s="23" t="n"/>
      <c r="C87" s="20" t="n"/>
      <c r="D87" s="23" t="n"/>
      <c r="E87" s="24" t="n"/>
      <c r="F87" s="24" t="n"/>
      <c r="G87" s="15">
        <f>IF(OR($E87="",$F87="",$AG87="",$AH87="",$F87&lt;=0),"",($E87-($AG87-$AH87))/$F87)</f>
        <v/>
      </c>
      <c r="H87" s="24" t="n"/>
      <c r="I87" s="25" t="n"/>
      <c r="J87" s="25" t="n"/>
      <c r="K87" s="25" t="n"/>
      <c r="L87" s="25" t="n"/>
      <c r="M87" s="25" t="n"/>
      <c r="N87" s="25" t="n"/>
      <c r="O87" s="25" t="n"/>
      <c r="P87" s="25" t="n"/>
      <c r="Q87" s="25" t="n"/>
      <c r="R87" s="25" t="n"/>
      <c r="S87" s="25" t="n"/>
      <c r="T87" s="25" t="n"/>
      <c r="U87" s="17">
        <f>IF($AN87=0,"",IF($AP87&gt;0,"C：見送り（Must×）",IF($AO87&gt;=2,"C：見送り（×2件以上）",IF($AN87&lt;6,"B：追加情報を取得",IF(AND($AO87=0,$AM87/($AN87*2)&gt;=0.75),"A：進める","B：追加情報を取得")))))</f>
        <v/>
      </c>
      <c r="V87" s="18">
        <f>IF($AN87=0,"",$AM87/($AN87*2))</f>
        <v/>
      </c>
      <c r="W87" s="23" t="n"/>
      <c r="X87" s="20" t="n"/>
      <c r="Y87" s="22" t="n"/>
      <c r="Z87" s="22" t="n"/>
      <c r="AA87" s="20" t="n"/>
      <c r="AB87" s="20" t="n"/>
      <c r="AC87" s="22" t="n"/>
      <c r="AD87" s="23" t="n"/>
      <c r="AE87" s="23" t="n"/>
      <c r="AF87" s="23" t="n"/>
      <c r="AG87" s="24" t="n"/>
      <c r="AH87" s="24" t="n"/>
      <c r="AI87" s="17">
        <f>IF($H87="","",IF($H87&lt;300,"下限未満（対象外）",IF($H87&gt;3000,"上限超（対象外）","範囲内")))</f>
        <v/>
      </c>
      <c r="AJ87" s="15">
        <f>IF(OR($E87="",$F87="",$AG87="",$F87&lt;=0),"",($E87-$AG87)/$F87)</f>
        <v/>
      </c>
      <c r="AK87" s="23" t="n"/>
      <c r="AL87" s="20" t="n"/>
      <c r="AM87" s="21">
        <f>COUNTIF($I87:$T87,"◯")*2+COUNTIF($I87:$T87,"△〜◯")*1.5+COUNTIF($I87:$T87,"△")*1+COUNTIF($I87:$T87,"×〜△")*0.5</f>
        <v/>
      </c>
      <c r="AN87" s="17">
        <f>COUNTIF($I87:$T87,"◯")+COUNTIF($I87:$T87,"△〜◯")+COUNTIF($I87:$T87,"△")+COUNTIF($I87:$T87,"×〜△")+COUNTIF($I87:$T87,"×")</f>
        <v/>
      </c>
      <c r="AO87" s="17">
        <f>COUNTIF($I87:$T87,"×")</f>
        <v/>
      </c>
      <c r="AP87" s="17">
        <f>COUNTIF($I87,"×")+COUNTIF($J87,"×")+COUNTIF($L87,"×")+COUNTIF($O87,"×")</f>
        <v/>
      </c>
    </row>
    <row r="88">
      <c r="A88" s="23" t="n"/>
      <c r="B88" s="23" t="n"/>
      <c r="C88" s="20" t="n"/>
      <c r="D88" s="23" t="n"/>
      <c r="E88" s="24" t="n"/>
      <c r="F88" s="24" t="n"/>
      <c r="G88" s="15">
        <f>IF(OR($E88="",$F88="",$AG88="",$AH88="",$F88&lt;=0),"",($E88-($AG88-$AH88))/$F88)</f>
        <v/>
      </c>
      <c r="H88" s="24" t="n"/>
      <c r="I88" s="25" t="n"/>
      <c r="J88" s="25" t="n"/>
      <c r="K88" s="25" t="n"/>
      <c r="L88" s="25" t="n"/>
      <c r="M88" s="25" t="n"/>
      <c r="N88" s="25" t="n"/>
      <c r="O88" s="25" t="n"/>
      <c r="P88" s="25" t="n"/>
      <c r="Q88" s="25" t="n"/>
      <c r="R88" s="25" t="n"/>
      <c r="S88" s="25" t="n"/>
      <c r="T88" s="25" t="n"/>
      <c r="U88" s="17">
        <f>IF($AN88=0,"",IF($AP88&gt;0,"C：見送り（Must×）",IF($AO88&gt;=2,"C：見送り（×2件以上）",IF($AN88&lt;6,"B：追加情報を取得",IF(AND($AO88=0,$AM88/($AN88*2)&gt;=0.75),"A：進める","B：追加情報を取得")))))</f>
        <v/>
      </c>
      <c r="V88" s="18">
        <f>IF($AN88=0,"",$AM88/($AN88*2))</f>
        <v/>
      </c>
      <c r="W88" s="23" t="n"/>
      <c r="X88" s="20" t="n"/>
      <c r="Y88" s="22" t="n"/>
      <c r="Z88" s="22" t="n"/>
      <c r="AA88" s="20" t="n"/>
      <c r="AB88" s="20" t="n"/>
      <c r="AC88" s="22" t="n"/>
      <c r="AD88" s="23" t="n"/>
      <c r="AE88" s="23" t="n"/>
      <c r="AF88" s="23" t="n"/>
      <c r="AG88" s="24" t="n"/>
      <c r="AH88" s="24" t="n"/>
      <c r="AI88" s="17">
        <f>IF($H88="","",IF($H88&lt;300,"下限未満（対象外）",IF($H88&gt;3000,"上限超（対象外）","範囲内")))</f>
        <v/>
      </c>
      <c r="AJ88" s="15">
        <f>IF(OR($E88="",$F88="",$AG88="",$F88&lt;=0),"",($E88-$AG88)/$F88)</f>
        <v/>
      </c>
      <c r="AK88" s="23" t="n"/>
      <c r="AL88" s="20" t="n"/>
      <c r="AM88" s="21">
        <f>COUNTIF($I88:$T88,"◯")*2+COUNTIF($I88:$T88,"△〜◯")*1.5+COUNTIF($I88:$T88,"△")*1+COUNTIF($I88:$T88,"×〜△")*0.5</f>
        <v/>
      </c>
      <c r="AN88" s="17">
        <f>COUNTIF($I88:$T88,"◯")+COUNTIF($I88:$T88,"△〜◯")+COUNTIF($I88:$T88,"△")+COUNTIF($I88:$T88,"×〜△")+COUNTIF($I88:$T88,"×")</f>
        <v/>
      </c>
      <c r="AO88" s="17">
        <f>COUNTIF($I88:$T88,"×")</f>
        <v/>
      </c>
      <c r="AP88" s="17">
        <f>COUNTIF($I88,"×")+COUNTIF($J88,"×")+COUNTIF($L88,"×")+COUNTIF($O88,"×")</f>
        <v/>
      </c>
    </row>
    <row r="89">
      <c r="A89" s="23" t="n"/>
      <c r="B89" s="23" t="n"/>
      <c r="C89" s="20" t="n"/>
      <c r="D89" s="23" t="n"/>
      <c r="E89" s="24" t="n"/>
      <c r="F89" s="24" t="n"/>
      <c r="G89" s="15">
        <f>IF(OR($E89="",$F89="",$AG89="",$AH89="",$F89&lt;=0),"",($E89-($AG89-$AH89))/$F89)</f>
        <v/>
      </c>
      <c r="H89" s="24" t="n"/>
      <c r="I89" s="25" t="n"/>
      <c r="J89" s="25" t="n"/>
      <c r="K89" s="25" t="n"/>
      <c r="L89" s="25" t="n"/>
      <c r="M89" s="25" t="n"/>
      <c r="N89" s="25" t="n"/>
      <c r="O89" s="25" t="n"/>
      <c r="P89" s="25" t="n"/>
      <c r="Q89" s="25" t="n"/>
      <c r="R89" s="25" t="n"/>
      <c r="S89" s="25" t="n"/>
      <c r="T89" s="25" t="n"/>
      <c r="U89" s="17">
        <f>IF($AN89=0,"",IF($AP89&gt;0,"C：見送り（Must×）",IF($AO89&gt;=2,"C：見送り（×2件以上）",IF($AN89&lt;6,"B：追加情報を取得",IF(AND($AO89=0,$AM89/($AN89*2)&gt;=0.75),"A：進める","B：追加情報を取得")))))</f>
        <v/>
      </c>
      <c r="V89" s="18">
        <f>IF($AN89=0,"",$AM89/($AN89*2))</f>
        <v/>
      </c>
      <c r="W89" s="23" t="n"/>
      <c r="X89" s="20" t="n"/>
      <c r="Y89" s="22" t="n"/>
      <c r="Z89" s="22" t="n"/>
      <c r="AA89" s="20" t="n"/>
      <c r="AB89" s="20" t="n"/>
      <c r="AC89" s="22" t="n"/>
      <c r="AD89" s="23" t="n"/>
      <c r="AE89" s="23" t="n"/>
      <c r="AF89" s="23" t="n"/>
      <c r="AG89" s="24" t="n"/>
      <c r="AH89" s="24" t="n"/>
      <c r="AI89" s="17">
        <f>IF($H89="","",IF($H89&lt;300,"下限未満（対象外）",IF($H89&gt;3000,"上限超（対象外）","範囲内")))</f>
        <v/>
      </c>
      <c r="AJ89" s="15">
        <f>IF(OR($E89="",$F89="",$AG89="",$F89&lt;=0),"",($E89-$AG89)/$F89)</f>
        <v/>
      </c>
      <c r="AK89" s="23" t="n"/>
      <c r="AL89" s="20" t="n"/>
      <c r="AM89" s="21">
        <f>COUNTIF($I89:$T89,"◯")*2+COUNTIF($I89:$T89,"△〜◯")*1.5+COUNTIF($I89:$T89,"△")*1+COUNTIF($I89:$T89,"×〜△")*0.5</f>
        <v/>
      </c>
      <c r="AN89" s="17">
        <f>COUNTIF($I89:$T89,"◯")+COUNTIF($I89:$T89,"△〜◯")+COUNTIF($I89:$T89,"△")+COUNTIF($I89:$T89,"×〜△")+COUNTIF($I89:$T89,"×")</f>
        <v/>
      </c>
      <c r="AO89" s="17">
        <f>COUNTIF($I89:$T89,"×")</f>
        <v/>
      </c>
      <c r="AP89" s="17">
        <f>COUNTIF($I89,"×")+COUNTIF($J89,"×")+COUNTIF($L89,"×")+COUNTIF($O89,"×")</f>
        <v/>
      </c>
    </row>
    <row r="90">
      <c r="A90" s="23" t="n"/>
      <c r="B90" s="23" t="n"/>
      <c r="C90" s="20" t="n"/>
      <c r="D90" s="23" t="n"/>
      <c r="E90" s="24" t="n"/>
      <c r="F90" s="24" t="n"/>
      <c r="G90" s="15">
        <f>IF(OR($E90="",$F90="",$AG90="",$AH90="",$F90&lt;=0),"",($E90-($AG90-$AH90))/$F90)</f>
        <v/>
      </c>
      <c r="H90" s="24" t="n"/>
      <c r="I90" s="25" t="n"/>
      <c r="J90" s="25" t="n"/>
      <c r="K90" s="25" t="n"/>
      <c r="L90" s="25" t="n"/>
      <c r="M90" s="25" t="n"/>
      <c r="N90" s="25" t="n"/>
      <c r="O90" s="25" t="n"/>
      <c r="P90" s="25" t="n"/>
      <c r="Q90" s="25" t="n"/>
      <c r="R90" s="25" t="n"/>
      <c r="S90" s="25" t="n"/>
      <c r="T90" s="25" t="n"/>
      <c r="U90" s="17">
        <f>IF($AN90=0,"",IF($AP90&gt;0,"C：見送り（Must×）",IF($AO90&gt;=2,"C：見送り（×2件以上）",IF($AN90&lt;6,"B：追加情報を取得",IF(AND($AO90=0,$AM90/($AN90*2)&gt;=0.75),"A：進める","B：追加情報を取得")))))</f>
        <v/>
      </c>
      <c r="V90" s="18">
        <f>IF($AN90=0,"",$AM90/($AN90*2))</f>
        <v/>
      </c>
      <c r="W90" s="23" t="n"/>
      <c r="X90" s="20" t="n"/>
      <c r="Y90" s="22" t="n"/>
      <c r="Z90" s="22" t="n"/>
      <c r="AA90" s="20" t="n"/>
      <c r="AB90" s="20" t="n"/>
      <c r="AC90" s="22" t="n"/>
      <c r="AD90" s="23" t="n"/>
      <c r="AE90" s="23" t="n"/>
      <c r="AF90" s="23" t="n"/>
      <c r="AG90" s="24" t="n"/>
      <c r="AH90" s="24" t="n"/>
      <c r="AI90" s="17">
        <f>IF($H90="","",IF($H90&lt;300,"下限未満（対象外）",IF($H90&gt;3000,"上限超（対象外）","範囲内")))</f>
        <v/>
      </c>
      <c r="AJ90" s="15">
        <f>IF(OR($E90="",$F90="",$AG90="",$F90&lt;=0),"",($E90-$AG90)/$F90)</f>
        <v/>
      </c>
      <c r="AK90" s="23" t="n"/>
      <c r="AL90" s="20" t="n"/>
      <c r="AM90" s="21">
        <f>COUNTIF($I90:$T90,"◯")*2+COUNTIF($I90:$T90,"△〜◯")*1.5+COUNTIF($I90:$T90,"△")*1+COUNTIF($I90:$T90,"×〜△")*0.5</f>
        <v/>
      </c>
      <c r="AN90" s="17">
        <f>COUNTIF($I90:$T90,"◯")+COUNTIF($I90:$T90,"△〜◯")+COUNTIF($I90:$T90,"△")+COUNTIF($I90:$T90,"×〜△")+COUNTIF($I90:$T90,"×")</f>
        <v/>
      </c>
      <c r="AO90" s="17">
        <f>COUNTIF($I90:$T90,"×")</f>
        <v/>
      </c>
      <c r="AP90" s="17">
        <f>COUNTIF($I90,"×")+COUNTIF($J90,"×")+COUNTIF($L90,"×")+COUNTIF($O90,"×")</f>
        <v/>
      </c>
    </row>
    <row r="91">
      <c r="A91" s="23" t="n"/>
      <c r="B91" s="23" t="n"/>
      <c r="C91" s="20" t="n"/>
      <c r="D91" s="23" t="n"/>
      <c r="E91" s="24" t="n"/>
      <c r="F91" s="24" t="n"/>
      <c r="G91" s="15">
        <f>IF(OR($E91="",$F91="",$AG91="",$AH91="",$F91&lt;=0),"",($E91-($AG91-$AH91))/$F91)</f>
        <v/>
      </c>
      <c r="H91" s="24" t="n"/>
      <c r="I91" s="25" t="n"/>
      <c r="J91" s="25" t="n"/>
      <c r="K91" s="25" t="n"/>
      <c r="L91" s="25" t="n"/>
      <c r="M91" s="25" t="n"/>
      <c r="N91" s="25" t="n"/>
      <c r="O91" s="25" t="n"/>
      <c r="P91" s="25" t="n"/>
      <c r="Q91" s="25" t="n"/>
      <c r="R91" s="25" t="n"/>
      <c r="S91" s="25" t="n"/>
      <c r="T91" s="25" t="n"/>
      <c r="U91" s="17">
        <f>IF($AN91=0,"",IF($AP91&gt;0,"C：見送り（Must×）",IF($AO91&gt;=2,"C：見送り（×2件以上）",IF($AN91&lt;6,"B：追加情報を取得",IF(AND($AO91=0,$AM91/($AN91*2)&gt;=0.75),"A：進める","B：追加情報を取得")))))</f>
        <v/>
      </c>
      <c r="V91" s="18">
        <f>IF($AN91=0,"",$AM91/($AN91*2))</f>
        <v/>
      </c>
      <c r="W91" s="23" t="n"/>
      <c r="X91" s="20" t="n"/>
      <c r="Y91" s="22" t="n"/>
      <c r="Z91" s="22" t="n"/>
      <c r="AA91" s="20" t="n"/>
      <c r="AB91" s="20" t="n"/>
      <c r="AC91" s="22" t="n"/>
      <c r="AD91" s="23" t="n"/>
      <c r="AE91" s="23" t="n"/>
      <c r="AF91" s="23" t="n"/>
      <c r="AG91" s="24" t="n"/>
      <c r="AH91" s="24" t="n"/>
      <c r="AI91" s="17">
        <f>IF($H91="","",IF($H91&lt;300,"下限未満（対象外）",IF($H91&gt;3000,"上限超（対象外）","範囲内")))</f>
        <v/>
      </c>
      <c r="AJ91" s="15">
        <f>IF(OR($E91="",$F91="",$AG91="",$F91&lt;=0),"",($E91-$AG91)/$F91)</f>
        <v/>
      </c>
      <c r="AK91" s="23" t="n"/>
      <c r="AL91" s="20" t="n"/>
      <c r="AM91" s="21">
        <f>COUNTIF($I91:$T91,"◯")*2+COUNTIF($I91:$T91,"△〜◯")*1.5+COUNTIF($I91:$T91,"△")*1+COUNTIF($I91:$T91,"×〜△")*0.5</f>
        <v/>
      </c>
      <c r="AN91" s="17">
        <f>COUNTIF($I91:$T91,"◯")+COUNTIF($I91:$T91,"△〜◯")+COUNTIF($I91:$T91,"△")+COUNTIF($I91:$T91,"×〜△")+COUNTIF($I91:$T91,"×")</f>
        <v/>
      </c>
      <c r="AO91" s="17">
        <f>COUNTIF($I91:$T91,"×")</f>
        <v/>
      </c>
      <c r="AP91" s="17">
        <f>COUNTIF($I91,"×")+COUNTIF($J91,"×")+COUNTIF($L91,"×")+COUNTIF($O91,"×")</f>
        <v/>
      </c>
    </row>
    <row r="92">
      <c r="A92" s="23" t="n"/>
      <c r="B92" s="23" t="n"/>
      <c r="C92" s="20" t="n"/>
      <c r="D92" s="23" t="n"/>
      <c r="E92" s="24" t="n"/>
      <c r="F92" s="24" t="n"/>
      <c r="G92" s="15">
        <f>IF(OR($E92="",$F92="",$AG92="",$AH92="",$F92&lt;=0),"",($E92-($AG92-$AH92))/$F92)</f>
        <v/>
      </c>
      <c r="H92" s="24" t="n"/>
      <c r="I92" s="25" t="n"/>
      <c r="J92" s="25" t="n"/>
      <c r="K92" s="25" t="n"/>
      <c r="L92" s="25" t="n"/>
      <c r="M92" s="25" t="n"/>
      <c r="N92" s="25" t="n"/>
      <c r="O92" s="25" t="n"/>
      <c r="P92" s="25" t="n"/>
      <c r="Q92" s="25" t="n"/>
      <c r="R92" s="25" t="n"/>
      <c r="S92" s="25" t="n"/>
      <c r="T92" s="25" t="n"/>
      <c r="U92" s="17">
        <f>IF($AN92=0,"",IF($AP92&gt;0,"C：見送り（Must×）",IF($AO92&gt;=2,"C：見送り（×2件以上）",IF($AN92&lt;6,"B：追加情報を取得",IF(AND($AO92=0,$AM92/($AN92*2)&gt;=0.75),"A：進める","B：追加情報を取得")))))</f>
        <v/>
      </c>
      <c r="V92" s="18">
        <f>IF($AN92=0,"",$AM92/($AN92*2))</f>
        <v/>
      </c>
      <c r="W92" s="23" t="n"/>
      <c r="X92" s="20" t="n"/>
      <c r="Y92" s="22" t="n"/>
      <c r="Z92" s="22" t="n"/>
      <c r="AA92" s="20" t="n"/>
      <c r="AB92" s="20" t="n"/>
      <c r="AC92" s="22" t="n"/>
      <c r="AD92" s="23" t="n"/>
      <c r="AE92" s="23" t="n"/>
      <c r="AF92" s="23" t="n"/>
      <c r="AG92" s="24" t="n"/>
      <c r="AH92" s="24" t="n"/>
      <c r="AI92" s="17">
        <f>IF($H92="","",IF($H92&lt;300,"下限未満（対象外）",IF($H92&gt;3000,"上限超（対象外）","範囲内")))</f>
        <v/>
      </c>
      <c r="AJ92" s="15">
        <f>IF(OR($E92="",$F92="",$AG92="",$F92&lt;=0),"",($E92-$AG92)/$F92)</f>
        <v/>
      </c>
      <c r="AK92" s="23" t="n"/>
      <c r="AL92" s="20" t="n"/>
      <c r="AM92" s="21">
        <f>COUNTIF($I92:$T92,"◯")*2+COUNTIF($I92:$T92,"△〜◯")*1.5+COUNTIF($I92:$T92,"△")*1+COUNTIF($I92:$T92,"×〜△")*0.5</f>
        <v/>
      </c>
      <c r="AN92" s="17">
        <f>COUNTIF($I92:$T92,"◯")+COUNTIF($I92:$T92,"△〜◯")+COUNTIF($I92:$T92,"△")+COUNTIF($I92:$T92,"×〜△")+COUNTIF($I92:$T92,"×")</f>
        <v/>
      </c>
      <c r="AO92" s="17">
        <f>COUNTIF($I92:$T92,"×")</f>
        <v/>
      </c>
      <c r="AP92" s="17">
        <f>COUNTIF($I92,"×")+COUNTIF($J92,"×")+COUNTIF($L92,"×")+COUNTIF($O92,"×")</f>
        <v/>
      </c>
    </row>
    <row r="93">
      <c r="A93" s="23" t="n"/>
      <c r="B93" s="23" t="n"/>
      <c r="C93" s="20" t="n"/>
      <c r="D93" s="23" t="n"/>
      <c r="E93" s="24" t="n"/>
      <c r="F93" s="24" t="n"/>
      <c r="G93" s="15">
        <f>IF(OR($E93="",$F93="",$AG93="",$AH93="",$F93&lt;=0),"",($E93-($AG93-$AH93))/$F93)</f>
        <v/>
      </c>
      <c r="H93" s="24" t="n"/>
      <c r="I93" s="25" t="n"/>
      <c r="J93" s="25" t="n"/>
      <c r="K93" s="25" t="n"/>
      <c r="L93" s="25" t="n"/>
      <c r="M93" s="25" t="n"/>
      <c r="N93" s="25" t="n"/>
      <c r="O93" s="25" t="n"/>
      <c r="P93" s="25" t="n"/>
      <c r="Q93" s="25" t="n"/>
      <c r="R93" s="25" t="n"/>
      <c r="S93" s="25" t="n"/>
      <c r="T93" s="25" t="n"/>
      <c r="U93" s="17">
        <f>IF($AN93=0,"",IF($AP93&gt;0,"C：見送り（Must×）",IF($AO93&gt;=2,"C：見送り（×2件以上）",IF($AN93&lt;6,"B：追加情報を取得",IF(AND($AO93=0,$AM93/($AN93*2)&gt;=0.75),"A：進める","B：追加情報を取得")))))</f>
        <v/>
      </c>
      <c r="V93" s="18">
        <f>IF($AN93=0,"",$AM93/($AN93*2))</f>
        <v/>
      </c>
      <c r="W93" s="23" t="n"/>
      <c r="X93" s="20" t="n"/>
      <c r="Y93" s="22" t="n"/>
      <c r="Z93" s="22" t="n"/>
      <c r="AA93" s="20" t="n"/>
      <c r="AB93" s="20" t="n"/>
      <c r="AC93" s="22" t="n"/>
      <c r="AD93" s="23" t="n"/>
      <c r="AE93" s="23" t="n"/>
      <c r="AF93" s="23" t="n"/>
      <c r="AG93" s="24" t="n"/>
      <c r="AH93" s="24" t="n"/>
      <c r="AI93" s="17">
        <f>IF($H93="","",IF($H93&lt;300,"下限未満（対象外）",IF($H93&gt;3000,"上限超（対象外）","範囲内")))</f>
        <v/>
      </c>
      <c r="AJ93" s="15">
        <f>IF(OR($E93="",$F93="",$AG93="",$F93&lt;=0),"",($E93-$AG93)/$F93)</f>
        <v/>
      </c>
      <c r="AK93" s="23" t="n"/>
      <c r="AL93" s="20" t="n"/>
      <c r="AM93" s="21">
        <f>COUNTIF($I93:$T93,"◯")*2+COUNTIF($I93:$T93,"△〜◯")*1.5+COUNTIF($I93:$T93,"△")*1+COUNTIF($I93:$T93,"×〜△")*0.5</f>
        <v/>
      </c>
      <c r="AN93" s="17">
        <f>COUNTIF($I93:$T93,"◯")+COUNTIF($I93:$T93,"△〜◯")+COUNTIF($I93:$T93,"△")+COUNTIF($I93:$T93,"×〜△")+COUNTIF($I93:$T93,"×")</f>
        <v/>
      </c>
      <c r="AO93" s="17">
        <f>COUNTIF($I93:$T93,"×")</f>
        <v/>
      </c>
      <c r="AP93" s="17">
        <f>COUNTIF($I93,"×")+COUNTIF($J93,"×")+COUNTIF($L93,"×")+COUNTIF($O93,"×")</f>
        <v/>
      </c>
    </row>
    <row r="94">
      <c r="A94" s="23" t="n"/>
      <c r="B94" s="23" t="n"/>
      <c r="C94" s="20" t="n"/>
      <c r="D94" s="23" t="n"/>
      <c r="E94" s="24" t="n"/>
      <c r="F94" s="24" t="n"/>
      <c r="G94" s="15">
        <f>IF(OR($E94="",$F94="",$AG94="",$AH94="",$F94&lt;=0),"",($E94-($AG94-$AH94))/$F94)</f>
        <v/>
      </c>
      <c r="H94" s="24" t="n"/>
      <c r="I94" s="25" t="n"/>
      <c r="J94" s="25" t="n"/>
      <c r="K94" s="25" t="n"/>
      <c r="L94" s="25" t="n"/>
      <c r="M94" s="25" t="n"/>
      <c r="N94" s="25" t="n"/>
      <c r="O94" s="25" t="n"/>
      <c r="P94" s="25" t="n"/>
      <c r="Q94" s="25" t="n"/>
      <c r="R94" s="25" t="n"/>
      <c r="S94" s="25" t="n"/>
      <c r="T94" s="25" t="n"/>
      <c r="U94" s="17">
        <f>IF($AN94=0,"",IF($AP94&gt;0,"C：見送り（Must×）",IF($AO94&gt;=2,"C：見送り（×2件以上）",IF($AN94&lt;6,"B：追加情報を取得",IF(AND($AO94=0,$AM94/($AN94*2)&gt;=0.75),"A：進める","B：追加情報を取得")))))</f>
        <v/>
      </c>
      <c r="V94" s="18">
        <f>IF($AN94=0,"",$AM94/($AN94*2))</f>
        <v/>
      </c>
      <c r="W94" s="23" t="n"/>
      <c r="X94" s="20" t="n"/>
      <c r="Y94" s="22" t="n"/>
      <c r="Z94" s="22" t="n"/>
      <c r="AA94" s="20" t="n"/>
      <c r="AB94" s="20" t="n"/>
      <c r="AC94" s="22" t="n"/>
      <c r="AD94" s="23" t="n"/>
      <c r="AE94" s="23" t="n"/>
      <c r="AF94" s="23" t="n"/>
      <c r="AG94" s="24" t="n"/>
      <c r="AH94" s="24" t="n"/>
      <c r="AI94" s="17">
        <f>IF($H94="","",IF($H94&lt;300,"下限未満（対象外）",IF($H94&gt;3000,"上限超（対象外）","範囲内")))</f>
        <v/>
      </c>
      <c r="AJ94" s="15">
        <f>IF(OR($E94="",$F94="",$AG94="",$F94&lt;=0),"",($E94-$AG94)/$F94)</f>
        <v/>
      </c>
      <c r="AK94" s="23" t="n"/>
      <c r="AL94" s="20" t="n"/>
      <c r="AM94" s="21">
        <f>COUNTIF($I94:$T94,"◯")*2+COUNTIF($I94:$T94,"△〜◯")*1.5+COUNTIF($I94:$T94,"△")*1+COUNTIF($I94:$T94,"×〜△")*0.5</f>
        <v/>
      </c>
      <c r="AN94" s="17">
        <f>COUNTIF($I94:$T94,"◯")+COUNTIF($I94:$T94,"△〜◯")+COUNTIF($I94:$T94,"△")+COUNTIF($I94:$T94,"×〜△")+COUNTIF($I94:$T94,"×")</f>
        <v/>
      </c>
      <c r="AO94" s="17">
        <f>COUNTIF($I94:$T94,"×")</f>
        <v/>
      </c>
      <c r="AP94" s="17">
        <f>COUNTIF($I94,"×")+COUNTIF($J94,"×")+COUNTIF($L94,"×")+COUNTIF($O94,"×")</f>
        <v/>
      </c>
    </row>
    <row r="95">
      <c r="A95" s="23" t="n"/>
      <c r="B95" s="23" t="n"/>
      <c r="C95" s="20" t="n"/>
      <c r="D95" s="23" t="n"/>
      <c r="E95" s="24" t="n"/>
      <c r="F95" s="24" t="n"/>
      <c r="G95" s="15">
        <f>IF(OR($E95="",$F95="",$AG95="",$AH95="",$F95&lt;=0),"",($E95-($AG95-$AH95))/$F95)</f>
        <v/>
      </c>
      <c r="H95" s="24" t="n"/>
      <c r="I95" s="25" t="n"/>
      <c r="J95" s="25" t="n"/>
      <c r="K95" s="25" t="n"/>
      <c r="L95" s="25" t="n"/>
      <c r="M95" s="25" t="n"/>
      <c r="N95" s="25" t="n"/>
      <c r="O95" s="25" t="n"/>
      <c r="P95" s="25" t="n"/>
      <c r="Q95" s="25" t="n"/>
      <c r="R95" s="25" t="n"/>
      <c r="S95" s="25" t="n"/>
      <c r="T95" s="25" t="n"/>
      <c r="U95" s="17">
        <f>IF($AN95=0,"",IF($AP95&gt;0,"C：見送り（Must×）",IF($AO95&gt;=2,"C：見送り（×2件以上）",IF($AN95&lt;6,"B：追加情報を取得",IF(AND($AO95=0,$AM95/($AN95*2)&gt;=0.75),"A：進める","B：追加情報を取得")))))</f>
        <v/>
      </c>
      <c r="V95" s="18">
        <f>IF($AN95=0,"",$AM95/($AN95*2))</f>
        <v/>
      </c>
      <c r="W95" s="23" t="n"/>
      <c r="X95" s="20" t="n"/>
      <c r="Y95" s="22" t="n"/>
      <c r="Z95" s="22" t="n"/>
      <c r="AA95" s="20" t="n"/>
      <c r="AB95" s="20" t="n"/>
      <c r="AC95" s="22" t="n"/>
      <c r="AD95" s="23" t="n"/>
      <c r="AE95" s="23" t="n"/>
      <c r="AF95" s="23" t="n"/>
      <c r="AG95" s="24" t="n"/>
      <c r="AH95" s="24" t="n"/>
      <c r="AI95" s="17">
        <f>IF($H95="","",IF($H95&lt;300,"下限未満（対象外）",IF($H95&gt;3000,"上限超（対象外）","範囲内")))</f>
        <v/>
      </c>
      <c r="AJ95" s="15">
        <f>IF(OR($E95="",$F95="",$AG95="",$F95&lt;=0),"",($E95-$AG95)/$F95)</f>
        <v/>
      </c>
      <c r="AK95" s="23" t="n"/>
      <c r="AL95" s="20" t="n"/>
      <c r="AM95" s="21">
        <f>COUNTIF($I95:$T95,"◯")*2+COUNTIF($I95:$T95,"△〜◯")*1.5+COUNTIF($I95:$T95,"△")*1+COUNTIF($I95:$T95,"×〜△")*0.5</f>
        <v/>
      </c>
      <c r="AN95" s="17">
        <f>COUNTIF($I95:$T95,"◯")+COUNTIF($I95:$T95,"△〜◯")+COUNTIF($I95:$T95,"△")+COUNTIF($I95:$T95,"×〜△")+COUNTIF($I95:$T95,"×")</f>
        <v/>
      </c>
      <c r="AO95" s="17">
        <f>COUNTIF($I95:$T95,"×")</f>
        <v/>
      </c>
      <c r="AP95" s="17">
        <f>COUNTIF($I95,"×")+COUNTIF($J95,"×")+COUNTIF($L95,"×")+COUNTIF($O95,"×")</f>
        <v/>
      </c>
    </row>
    <row r="96">
      <c r="A96" s="23" t="n"/>
      <c r="B96" s="23" t="n"/>
      <c r="C96" s="20" t="n"/>
      <c r="D96" s="23" t="n"/>
      <c r="E96" s="24" t="n"/>
      <c r="F96" s="24" t="n"/>
      <c r="G96" s="15">
        <f>IF(OR($E96="",$F96="",$AG96="",$AH96="",$F96&lt;=0),"",($E96-($AG96-$AH96))/$F96)</f>
        <v/>
      </c>
      <c r="H96" s="24" t="n"/>
      <c r="I96" s="25" t="n"/>
      <c r="J96" s="25" t="n"/>
      <c r="K96" s="25" t="n"/>
      <c r="L96" s="25" t="n"/>
      <c r="M96" s="25" t="n"/>
      <c r="N96" s="25" t="n"/>
      <c r="O96" s="25" t="n"/>
      <c r="P96" s="25" t="n"/>
      <c r="Q96" s="25" t="n"/>
      <c r="R96" s="25" t="n"/>
      <c r="S96" s="25" t="n"/>
      <c r="T96" s="25" t="n"/>
      <c r="U96" s="17">
        <f>IF($AN96=0,"",IF($AP96&gt;0,"C：見送り（Must×）",IF($AO96&gt;=2,"C：見送り（×2件以上）",IF($AN96&lt;6,"B：追加情報を取得",IF(AND($AO96=0,$AM96/($AN96*2)&gt;=0.75),"A：進める","B：追加情報を取得")))))</f>
        <v/>
      </c>
      <c r="V96" s="18">
        <f>IF($AN96=0,"",$AM96/($AN96*2))</f>
        <v/>
      </c>
      <c r="W96" s="23" t="n"/>
      <c r="X96" s="20" t="n"/>
      <c r="Y96" s="22" t="n"/>
      <c r="Z96" s="22" t="n"/>
      <c r="AA96" s="20" t="n"/>
      <c r="AB96" s="20" t="n"/>
      <c r="AC96" s="22" t="n"/>
      <c r="AD96" s="23" t="n"/>
      <c r="AE96" s="23" t="n"/>
      <c r="AF96" s="23" t="n"/>
      <c r="AG96" s="24" t="n"/>
      <c r="AH96" s="24" t="n"/>
      <c r="AI96" s="17">
        <f>IF($H96="","",IF($H96&lt;300,"下限未満（対象外）",IF($H96&gt;3000,"上限超（対象外）","範囲内")))</f>
        <v/>
      </c>
      <c r="AJ96" s="15">
        <f>IF(OR($E96="",$F96="",$AG96="",$F96&lt;=0),"",($E96-$AG96)/$F96)</f>
        <v/>
      </c>
      <c r="AK96" s="23" t="n"/>
      <c r="AL96" s="20" t="n"/>
      <c r="AM96" s="21">
        <f>COUNTIF($I96:$T96,"◯")*2+COUNTIF($I96:$T96,"△〜◯")*1.5+COUNTIF($I96:$T96,"△")*1+COUNTIF($I96:$T96,"×〜△")*0.5</f>
        <v/>
      </c>
      <c r="AN96" s="17">
        <f>COUNTIF($I96:$T96,"◯")+COUNTIF($I96:$T96,"△〜◯")+COUNTIF($I96:$T96,"△")+COUNTIF($I96:$T96,"×〜△")+COUNTIF($I96:$T96,"×")</f>
        <v/>
      </c>
      <c r="AO96" s="17">
        <f>COUNTIF($I96:$T96,"×")</f>
        <v/>
      </c>
      <c r="AP96" s="17">
        <f>COUNTIF($I96,"×")+COUNTIF($J96,"×")+COUNTIF($L96,"×")+COUNTIF($O96,"×")</f>
        <v/>
      </c>
    </row>
    <row r="97">
      <c r="A97" s="23" t="n"/>
      <c r="B97" s="23" t="n"/>
      <c r="C97" s="20" t="n"/>
      <c r="D97" s="23" t="n"/>
      <c r="E97" s="24" t="n"/>
      <c r="F97" s="24" t="n"/>
      <c r="G97" s="15">
        <f>IF(OR($E97="",$F97="",$AG97="",$AH97="",$F97&lt;=0),"",($E97-($AG97-$AH97))/$F97)</f>
        <v/>
      </c>
      <c r="H97" s="24" t="n"/>
      <c r="I97" s="25" t="n"/>
      <c r="J97" s="25" t="n"/>
      <c r="K97" s="25" t="n"/>
      <c r="L97" s="25" t="n"/>
      <c r="M97" s="25" t="n"/>
      <c r="N97" s="25" t="n"/>
      <c r="O97" s="25" t="n"/>
      <c r="P97" s="25" t="n"/>
      <c r="Q97" s="25" t="n"/>
      <c r="R97" s="25" t="n"/>
      <c r="S97" s="25" t="n"/>
      <c r="T97" s="25" t="n"/>
      <c r="U97" s="17">
        <f>IF($AN97=0,"",IF($AP97&gt;0,"C：見送り（Must×）",IF($AO97&gt;=2,"C：見送り（×2件以上）",IF($AN97&lt;6,"B：追加情報を取得",IF(AND($AO97=0,$AM97/($AN97*2)&gt;=0.75),"A：進める","B：追加情報を取得")))))</f>
        <v/>
      </c>
      <c r="V97" s="18">
        <f>IF($AN97=0,"",$AM97/($AN97*2))</f>
        <v/>
      </c>
      <c r="W97" s="23" t="n"/>
      <c r="X97" s="20" t="n"/>
      <c r="Y97" s="22" t="n"/>
      <c r="Z97" s="22" t="n"/>
      <c r="AA97" s="20" t="n"/>
      <c r="AB97" s="20" t="n"/>
      <c r="AC97" s="22" t="n"/>
      <c r="AD97" s="23" t="n"/>
      <c r="AE97" s="23" t="n"/>
      <c r="AF97" s="23" t="n"/>
      <c r="AG97" s="24" t="n"/>
      <c r="AH97" s="24" t="n"/>
      <c r="AI97" s="17">
        <f>IF($H97="","",IF($H97&lt;300,"下限未満（対象外）",IF($H97&gt;3000,"上限超（対象外）","範囲内")))</f>
        <v/>
      </c>
      <c r="AJ97" s="15">
        <f>IF(OR($E97="",$F97="",$AG97="",$F97&lt;=0),"",($E97-$AG97)/$F97)</f>
        <v/>
      </c>
      <c r="AK97" s="23" t="n"/>
      <c r="AL97" s="20" t="n"/>
      <c r="AM97" s="21">
        <f>COUNTIF($I97:$T97,"◯")*2+COUNTIF($I97:$T97,"△〜◯")*1.5+COUNTIF($I97:$T97,"△")*1+COUNTIF($I97:$T97,"×〜△")*0.5</f>
        <v/>
      </c>
      <c r="AN97" s="17">
        <f>COUNTIF($I97:$T97,"◯")+COUNTIF($I97:$T97,"△〜◯")+COUNTIF($I97:$T97,"△")+COUNTIF($I97:$T97,"×〜△")+COUNTIF($I97:$T97,"×")</f>
        <v/>
      </c>
      <c r="AO97" s="17">
        <f>COUNTIF($I97:$T97,"×")</f>
        <v/>
      </c>
      <c r="AP97" s="17">
        <f>COUNTIF($I97,"×")+COUNTIF($J97,"×")+COUNTIF($L97,"×")+COUNTIF($O97,"×")</f>
        <v/>
      </c>
    </row>
    <row r="98">
      <c r="A98" s="23" t="n"/>
      <c r="B98" s="23" t="n"/>
      <c r="C98" s="20" t="n"/>
      <c r="D98" s="23" t="n"/>
      <c r="E98" s="24" t="n"/>
      <c r="F98" s="24" t="n"/>
      <c r="G98" s="15">
        <f>IF(OR($E98="",$F98="",$AG98="",$AH98="",$F98&lt;=0),"",($E98-($AG98-$AH98))/$F98)</f>
        <v/>
      </c>
      <c r="H98" s="24" t="n"/>
      <c r="I98" s="25" t="n"/>
      <c r="J98" s="25" t="n"/>
      <c r="K98" s="25" t="n"/>
      <c r="L98" s="25" t="n"/>
      <c r="M98" s="25" t="n"/>
      <c r="N98" s="25" t="n"/>
      <c r="O98" s="25" t="n"/>
      <c r="P98" s="25" t="n"/>
      <c r="Q98" s="25" t="n"/>
      <c r="R98" s="25" t="n"/>
      <c r="S98" s="25" t="n"/>
      <c r="T98" s="25" t="n"/>
      <c r="U98" s="17">
        <f>IF($AN98=0,"",IF($AP98&gt;0,"C：見送り（Must×）",IF($AO98&gt;=2,"C：見送り（×2件以上）",IF($AN98&lt;6,"B：追加情報を取得",IF(AND($AO98=0,$AM98/($AN98*2)&gt;=0.75),"A：進める","B：追加情報を取得")))))</f>
        <v/>
      </c>
      <c r="V98" s="18">
        <f>IF($AN98=0,"",$AM98/($AN98*2))</f>
        <v/>
      </c>
      <c r="W98" s="23" t="n"/>
      <c r="X98" s="20" t="n"/>
      <c r="Y98" s="22" t="n"/>
      <c r="Z98" s="22" t="n"/>
      <c r="AA98" s="20" t="n"/>
      <c r="AB98" s="20" t="n"/>
      <c r="AC98" s="22" t="n"/>
      <c r="AD98" s="23" t="n"/>
      <c r="AE98" s="23" t="n"/>
      <c r="AF98" s="23" t="n"/>
      <c r="AG98" s="24" t="n"/>
      <c r="AH98" s="24" t="n"/>
      <c r="AI98" s="17">
        <f>IF($H98="","",IF($H98&lt;300,"下限未満（対象外）",IF($H98&gt;3000,"上限超（対象外）","範囲内")))</f>
        <v/>
      </c>
      <c r="AJ98" s="15">
        <f>IF(OR($E98="",$F98="",$AG98="",$F98&lt;=0),"",($E98-$AG98)/$F98)</f>
        <v/>
      </c>
      <c r="AK98" s="23" t="n"/>
      <c r="AL98" s="20" t="n"/>
      <c r="AM98" s="21">
        <f>COUNTIF($I98:$T98,"◯")*2+COUNTIF($I98:$T98,"△〜◯")*1.5+COUNTIF($I98:$T98,"△")*1+COUNTIF($I98:$T98,"×〜△")*0.5</f>
        <v/>
      </c>
      <c r="AN98" s="17">
        <f>COUNTIF($I98:$T98,"◯")+COUNTIF($I98:$T98,"△〜◯")+COUNTIF($I98:$T98,"△")+COUNTIF($I98:$T98,"×〜△")+COUNTIF($I98:$T98,"×")</f>
        <v/>
      </c>
      <c r="AO98" s="17">
        <f>COUNTIF($I98:$T98,"×")</f>
        <v/>
      </c>
      <c r="AP98" s="17">
        <f>COUNTIF($I98,"×")+COUNTIF($J98,"×")+COUNTIF($L98,"×")+COUNTIF($O98,"×")</f>
        <v/>
      </c>
    </row>
    <row r="99">
      <c r="A99" s="23" t="n"/>
      <c r="B99" s="23" t="n"/>
      <c r="C99" s="20" t="n"/>
      <c r="D99" s="23" t="n"/>
      <c r="E99" s="24" t="n"/>
      <c r="F99" s="24" t="n"/>
      <c r="G99" s="15">
        <f>IF(OR($E99="",$F99="",$AG99="",$AH99="",$F99&lt;=0),"",($E99-($AG99-$AH99))/$F99)</f>
        <v/>
      </c>
      <c r="H99" s="24" t="n"/>
      <c r="I99" s="25" t="n"/>
      <c r="J99" s="25" t="n"/>
      <c r="K99" s="25" t="n"/>
      <c r="L99" s="25" t="n"/>
      <c r="M99" s="25" t="n"/>
      <c r="N99" s="25" t="n"/>
      <c r="O99" s="25" t="n"/>
      <c r="P99" s="25" t="n"/>
      <c r="Q99" s="25" t="n"/>
      <c r="R99" s="25" t="n"/>
      <c r="S99" s="25" t="n"/>
      <c r="T99" s="25" t="n"/>
      <c r="U99" s="17">
        <f>IF($AN99=0,"",IF($AP99&gt;0,"C：見送り（Must×）",IF($AO99&gt;=2,"C：見送り（×2件以上）",IF($AN99&lt;6,"B：追加情報を取得",IF(AND($AO99=0,$AM99/($AN99*2)&gt;=0.75),"A：進める","B：追加情報を取得")))))</f>
        <v/>
      </c>
      <c r="V99" s="18">
        <f>IF($AN99=0,"",$AM99/($AN99*2))</f>
        <v/>
      </c>
      <c r="W99" s="23" t="n"/>
      <c r="X99" s="20" t="n"/>
      <c r="Y99" s="22" t="n"/>
      <c r="Z99" s="22" t="n"/>
      <c r="AA99" s="20" t="n"/>
      <c r="AB99" s="20" t="n"/>
      <c r="AC99" s="22" t="n"/>
      <c r="AD99" s="23" t="n"/>
      <c r="AE99" s="23" t="n"/>
      <c r="AF99" s="23" t="n"/>
      <c r="AG99" s="24" t="n"/>
      <c r="AH99" s="24" t="n"/>
      <c r="AI99" s="17">
        <f>IF($H99="","",IF($H99&lt;300,"下限未満（対象外）",IF($H99&gt;3000,"上限超（対象外）","範囲内")))</f>
        <v/>
      </c>
      <c r="AJ99" s="15">
        <f>IF(OR($E99="",$F99="",$AG99="",$F99&lt;=0),"",($E99-$AG99)/$F99)</f>
        <v/>
      </c>
      <c r="AK99" s="23" t="n"/>
      <c r="AL99" s="20" t="n"/>
      <c r="AM99" s="21">
        <f>COUNTIF($I99:$T99,"◯")*2+COUNTIF($I99:$T99,"△〜◯")*1.5+COUNTIF($I99:$T99,"△")*1+COUNTIF($I99:$T99,"×〜△")*0.5</f>
        <v/>
      </c>
      <c r="AN99" s="17">
        <f>COUNTIF($I99:$T99,"◯")+COUNTIF($I99:$T99,"△〜◯")+COUNTIF($I99:$T99,"△")+COUNTIF($I99:$T99,"×〜△")+COUNTIF($I99:$T99,"×")</f>
        <v/>
      </c>
      <c r="AO99" s="17">
        <f>COUNTIF($I99:$T99,"×")</f>
        <v/>
      </c>
      <c r="AP99" s="17">
        <f>COUNTIF($I99,"×")+COUNTIF($J99,"×")+COUNTIF($L99,"×")+COUNTIF($O99,"×")</f>
        <v/>
      </c>
    </row>
    <row r="100">
      <c r="A100" s="23" t="n"/>
      <c r="B100" s="23" t="n"/>
      <c r="C100" s="20" t="n"/>
      <c r="D100" s="23" t="n"/>
      <c r="E100" s="24" t="n"/>
      <c r="F100" s="24" t="n"/>
      <c r="G100" s="15">
        <f>IF(OR($E100="",$F100="",$AG100="",$AH100="",$F100&lt;=0),"",($E100-($AG100-$AH100))/$F100)</f>
        <v/>
      </c>
      <c r="H100" s="24" t="n"/>
      <c r="I100" s="25" t="n"/>
      <c r="J100" s="25" t="n"/>
      <c r="K100" s="25" t="n"/>
      <c r="L100" s="25" t="n"/>
      <c r="M100" s="25" t="n"/>
      <c r="N100" s="25" t="n"/>
      <c r="O100" s="25" t="n"/>
      <c r="P100" s="25" t="n"/>
      <c r="Q100" s="25" t="n"/>
      <c r="R100" s="25" t="n"/>
      <c r="S100" s="25" t="n"/>
      <c r="T100" s="25" t="n"/>
      <c r="U100" s="17">
        <f>IF($AN100=0,"",IF($AP100&gt;0,"C：見送り（Must×）",IF($AO100&gt;=2,"C：見送り（×2件以上）",IF($AN100&lt;6,"B：追加情報を取得",IF(AND($AO100=0,$AM100/($AN100*2)&gt;=0.75),"A：進める","B：追加情報を取得")))))</f>
        <v/>
      </c>
      <c r="V100" s="18">
        <f>IF($AN100=0,"",$AM100/($AN100*2))</f>
        <v/>
      </c>
      <c r="W100" s="23" t="n"/>
      <c r="X100" s="20" t="n"/>
      <c r="Y100" s="22" t="n"/>
      <c r="Z100" s="22" t="n"/>
      <c r="AA100" s="20" t="n"/>
      <c r="AB100" s="20" t="n"/>
      <c r="AC100" s="22" t="n"/>
      <c r="AD100" s="23" t="n"/>
      <c r="AE100" s="23" t="n"/>
      <c r="AF100" s="23" t="n"/>
      <c r="AG100" s="24" t="n"/>
      <c r="AH100" s="24" t="n"/>
      <c r="AI100" s="17">
        <f>IF($H100="","",IF($H100&lt;300,"下限未満（対象外）",IF($H100&gt;3000,"上限超（対象外）","範囲内")))</f>
        <v/>
      </c>
      <c r="AJ100" s="15">
        <f>IF(OR($E100="",$F100="",$AG100="",$F100&lt;=0),"",($E100-$AG100)/$F100)</f>
        <v/>
      </c>
      <c r="AK100" s="23" t="n"/>
      <c r="AL100" s="20" t="n"/>
      <c r="AM100" s="21">
        <f>COUNTIF($I100:$T100,"◯")*2+COUNTIF($I100:$T100,"△〜◯")*1.5+COUNTIF($I100:$T100,"△")*1+COUNTIF($I100:$T100,"×〜△")*0.5</f>
        <v/>
      </c>
      <c r="AN100" s="17">
        <f>COUNTIF($I100:$T100,"◯")+COUNTIF($I100:$T100,"△〜◯")+COUNTIF($I100:$T100,"△")+COUNTIF($I100:$T100,"×〜△")+COUNTIF($I100:$T100,"×")</f>
        <v/>
      </c>
      <c r="AO100" s="17">
        <f>COUNTIF($I100:$T100,"×")</f>
        <v/>
      </c>
      <c r="AP100" s="17">
        <f>COUNTIF($I100,"×")+COUNTIF($J100,"×")+COUNTIF($L100,"×")+COUNTIF($O100,"×")</f>
        <v/>
      </c>
    </row>
    <row r="101">
      <c r="A101" s="23" t="n"/>
      <c r="B101" s="23" t="n"/>
      <c r="C101" s="20" t="n"/>
      <c r="D101" s="23" t="n"/>
      <c r="E101" s="24" t="n"/>
      <c r="F101" s="24" t="n"/>
      <c r="G101" s="15">
        <f>IF(OR($E101="",$F101="",$AG101="",$AH101="",$F101&lt;=0),"",($E101-($AG101-$AH101))/$F101)</f>
        <v/>
      </c>
      <c r="H101" s="24" t="n"/>
      <c r="I101" s="25" t="n"/>
      <c r="J101" s="25" t="n"/>
      <c r="K101" s="25" t="n"/>
      <c r="L101" s="25" t="n"/>
      <c r="M101" s="25" t="n"/>
      <c r="N101" s="25" t="n"/>
      <c r="O101" s="25" t="n"/>
      <c r="P101" s="25" t="n"/>
      <c r="Q101" s="25" t="n"/>
      <c r="R101" s="25" t="n"/>
      <c r="S101" s="25" t="n"/>
      <c r="T101" s="25" t="n"/>
      <c r="U101" s="17">
        <f>IF($AN101=0,"",IF($AP101&gt;0,"C：見送り（Must×）",IF($AO101&gt;=2,"C：見送り（×2件以上）",IF($AN101&lt;6,"B：追加情報を取得",IF(AND($AO101=0,$AM101/($AN101*2)&gt;=0.75),"A：進める","B：追加情報を取得")))))</f>
        <v/>
      </c>
      <c r="V101" s="18">
        <f>IF($AN101=0,"",$AM101/($AN101*2))</f>
        <v/>
      </c>
      <c r="W101" s="23" t="n"/>
      <c r="X101" s="20" t="n"/>
      <c r="Y101" s="22" t="n"/>
      <c r="Z101" s="22" t="n"/>
      <c r="AA101" s="20" t="n"/>
      <c r="AB101" s="20" t="n"/>
      <c r="AC101" s="22" t="n"/>
      <c r="AD101" s="23" t="n"/>
      <c r="AE101" s="23" t="n"/>
      <c r="AF101" s="23" t="n"/>
      <c r="AG101" s="24" t="n"/>
      <c r="AH101" s="24" t="n"/>
      <c r="AI101" s="17">
        <f>IF($H101="","",IF($H101&lt;300,"下限未満（対象外）",IF($H101&gt;3000,"上限超（対象外）","範囲内")))</f>
        <v/>
      </c>
      <c r="AJ101" s="15">
        <f>IF(OR($E101="",$F101="",$AG101="",$F101&lt;=0),"",($E101-$AG101)/$F101)</f>
        <v/>
      </c>
      <c r="AK101" s="23" t="n"/>
      <c r="AL101" s="20" t="n"/>
      <c r="AM101" s="21">
        <f>COUNTIF($I101:$T101,"◯")*2+COUNTIF($I101:$T101,"△〜◯")*1.5+COUNTIF($I101:$T101,"△")*1+COUNTIF($I101:$T101,"×〜△")*0.5</f>
        <v/>
      </c>
      <c r="AN101" s="17">
        <f>COUNTIF($I101:$T101,"◯")+COUNTIF($I101:$T101,"△〜◯")+COUNTIF($I101:$T101,"△")+COUNTIF($I101:$T101,"×〜△")+COUNTIF($I101:$T101,"×")</f>
        <v/>
      </c>
      <c r="AO101" s="17">
        <f>COUNTIF($I101:$T101,"×")</f>
        <v/>
      </c>
      <c r="AP101" s="17">
        <f>COUNTIF($I101,"×")+COUNTIF($J101,"×")+COUNTIF($L101,"×")+COUNTIF($O101,"×")</f>
        <v/>
      </c>
    </row>
    <row r="102">
      <c r="A102" s="23" t="n"/>
      <c r="B102" s="23" t="n"/>
      <c r="C102" s="20" t="n"/>
      <c r="D102" s="23" t="n"/>
      <c r="E102" s="24" t="n"/>
      <c r="F102" s="24" t="n"/>
      <c r="G102" s="15">
        <f>IF(OR($E102="",$F102="",$AG102="",$AH102="",$F102&lt;=0),"",($E102-($AG102-$AH102))/$F102)</f>
        <v/>
      </c>
      <c r="H102" s="24" t="n"/>
      <c r="I102" s="25" t="n"/>
      <c r="J102" s="25" t="n"/>
      <c r="K102" s="25" t="n"/>
      <c r="L102" s="25" t="n"/>
      <c r="M102" s="25" t="n"/>
      <c r="N102" s="25" t="n"/>
      <c r="O102" s="25" t="n"/>
      <c r="P102" s="25" t="n"/>
      <c r="Q102" s="25" t="n"/>
      <c r="R102" s="25" t="n"/>
      <c r="S102" s="25" t="n"/>
      <c r="T102" s="25" t="n"/>
      <c r="U102" s="17">
        <f>IF($AN102=0,"",IF($AP102&gt;0,"C：見送り（Must×）",IF($AO102&gt;=2,"C：見送り（×2件以上）",IF($AN102&lt;6,"B：追加情報を取得",IF(AND($AO102=0,$AM102/($AN102*2)&gt;=0.75),"A：進める","B：追加情報を取得")))))</f>
        <v/>
      </c>
      <c r="V102" s="18">
        <f>IF($AN102=0,"",$AM102/($AN102*2))</f>
        <v/>
      </c>
      <c r="W102" s="23" t="n"/>
      <c r="X102" s="20" t="n"/>
      <c r="Y102" s="22" t="n"/>
      <c r="Z102" s="22" t="n"/>
      <c r="AA102" s="20" t="n"/>
      <c r="AB102" s="20" t="n"/>
      <c r="AC102" s="22" t="n"/>
      <c r="AD102" s="23" t="n"/>
      <c r="AE102" s="23" t="n"/>
      <c r="AF102" s="23" t="n"/>
      <c r="AG102" s="24" t="n"/>
      <c r="AH102" s="24" t="n"/>
      <c r="AI102" s="17">
        <f>IF($H102="","",IF($H102&lt;300,"下限未満（対象外）",IF($H102&gt;3000,"上限超（対象外）","範囲内")))</f>
        <v/>
      </c>
      <c r="AJ102" s="15">
        <f>IF(OR($E102="",$F102="",$AG102="",$F102&lt;=0),"",($E102-$AG102)/$F102)</f>
        <v/>
      </c>
      <c r="AK102" s="23" t="n"/>
      <c r="AL102" s="20" t="n"/>
      <c r="AM102" s="21">
        <f>COUNTIF($I102:$T102,"◯")*2+COUNTIF($I102:$T102,"△〜◯")*1.5+COUNTIF($I102:$T102,"△")*1+COUNTIF($I102:$T102,"×〜△")*0.5</f>
        <v/>
      </c>
      <c r="AN102" s="17">
        <f>COUNTIF($I102:$T102,"◯")+COUNTIF($I102:$T102,"△〜◯")+COUNTIF($I102:$T102,"△")+COUNTIF($I102:$T102,"×〜△")+COUNTIF($I102:$T102,"×")</f>
        <v/>
      </c>
      <c r="AO102" s="17">
        <f>COUNTIF($I102:$T102,"×")</f>
        <v/>
      </c>
      <c r="AP102" s="17">
        <f>COUNTIF($I102,"×")+COUNTIF($J102,"×")+COUNTIF($L102,"×")+COUNTIF($O102,"×")</f>
        <v/>
      </c>
    </row>
    <row r="103">
      <c r="A103" s="23" t="n"/>
      <c r="B103" s="23" t="n"/>
      <c r="C103" s="20" t="n"/>
      <c r="D103" s="23" t="n"/>
      <c r="E103" s="24" t="n"/>
      <c r="F103" s="24" t="n"/>
      <c r="G103" s="15">
        <f>IF(OR($E103="",$F103="",$AG103="",$AH103="",$F103&lt;=0),"",($E103-($AG103-$AH103))/$F103)</f>
        <v/>
      </c>
      <c r="H103" s="24" t="n"/>
      <c r="I103" s="25" t="n"/>
      <c r="J103" s="25" t="n"/>
      <c r="K103" s="25" t="n"/>
      <c r="L103" s="25" t="n"/>
      <c r="M103" s="25" t="n"/>
      <c r="N103" s="25" t="n"/>
      <c r="O103" s="25" t="n"/>
      <c r="P103" s="25" t="n"/>
      <c r="Q103" s="25" t="n"/>
      <c r="R103" s="25" t="n"/>
      <c r="S103" s="25" t="n"/>
      <c r="T103" s="25" t="n"/>
      <c r="U103" s="17">
        <f>IF($AN103=0,"",IF($AP103&gt;0,"C：見送り（Must×）",IF($AO103&gt;=2,"C：見送り（×2件以上）",IF($AN103&lt;6,"B：追加情報を取得",IF(AND($AO103=0,$AM103/($AN103*2)&gt;=0.75),"A：進める","B：追加情報を取得")))))</f>
        <v/>
      </c>
      <c r="V103" s="18">
        <f>IF($AN103=0,"",$AM103/($AN103*2))</f>
        <v/>
      </c>
      <c r="W103" s="23" t="n"/>
      <c r="X103" s="20" t="n"/>
      <c r="Y103" s="22" t="n"/>
      <c r="Z103" s="22" t="n"/>
      <c r="AA103" s="20" t="n"/>
      <c r="AB103" s="20" t="n"/>
      <c r="AC103" s="22" t="n"/>
      <c r="AD103" s="23" t="n"/>
      <c r="AE103" s="23" t="n"/>
      <c r="AF103" s="23" t="n"/>
      <c r="AG103" s="24" t="n"/>
      <c r="AH103" s="24" t="n"/>
      <c r="AI103" s="17">
        <f>IF($H103="","",IF($H103&lt;300,"下限未満（対象外）",IF($H103&gt;3000,"上限超（対象外）","範囲内")))</f>
        <v/>
      </c>
      <c r="AJ103" s="15">
        <f>IF(OR($E103="",$F103="",$AG103="",$F103&lt;=0),"",($E103-$AG103)/$F103)</f>
        <v/>
      </c>
      <c r="AK103" s="23" t="n"/>
      <c r="AL103" s="20" t="n"/>
      <c r="AM103" s="21">
        <f>COUNTIF($I103:$T103,"◯")*2+COUNTIF($I103:$T103,"△〜◯")*1.5+COUNTIF($I103:$T103,"△")*1+COUNTIF($I103:$T103,"×〜△")*0.5</f>
        <v/>
      </c>
      <c r="AN103" s="17">
        <f>COUNTIF($I103:$T103,"◯")+COUNTIF($I103:$T103,"△〜◯")+COUNTIF($I103:$T103,"△")+COUNTIF($I103:$T103,"×〜△")+COUNTIF($I103:$T103,"×")</f>
        <v/>
      </c>
      <c r="AO103" s="17">
        <f>COUNTIF($I103:$T103,"×")</f>
        <v/>
      </c>
      <c r="AP103" s="17">
        <f>COUNTIF($I103,"×")+COUNTIF($J103,"×")+COUNTIF($L103,"×")+COUNTIF($O103,"×")</f>
        <v/>
      </c>
    </row>
    <row r="104">
      <c r="A104" s="23" t="n"/>
      <c r="B104" s="23" t="n"/>
      <c r="C104" s="20" t="n"/>
      <c r="D104" s="23" t="n"/>
      <c r="E104" s="24" t="n"/>
      <c r="F104" s="24" t="n"/>
      <c r="G104" s="15">
        <f>IF(OR($E104="",$F104="",$AG104="",$AH104="",$F104&lt;=0),"",($E104-($AG104-$AH104))/$F104)</f>
        <v/>
      </c>
      <c r="H104" s="24" t="n"/>
      <c r="I104" s="25" t="n"/>
      <c r="J104" s="25" t="n"/>
      <c r="K104" s="25" t="n"/>
      <c r="L104" s="25" t="n"/>
      <c r="M104" s="25" t="n"/>
      <c r="N104" s="25" t="n"/>
      <c r="O104" s="25" t="n"/>
      <c r="P104" s="25" t="n"/>
      <c r="Q104" s="25" t="n"/>
      <c r="R104" s="25" t="n"/>
      <c r="S104" s="25" t="n"/>
      <c r="T104" s="25" t="n"/>
      <c r="U104" s="17">
        <f>IF($AN104=0,"",IF($AP104&gt;0,"C：見送り（Must×）",IF($AO104&gt;=2,"C：見送り（×2件以上）",IF($AN104&lt;6,"B：追加情報を取得",IF(AND($AO104=0,$AM104/($AN104*2)&gt;=0.75),"A：進める","B：追加情報を取得")))))</f>
        <v/>
      </c>
      <c r="V104" s="18">
        <f>IF($AN104=0,"",$AM104/($AN104*2))</f>
        <v/>
      </c>
      <c r="W104" s="23" t="n"/>
      <c r="X104" s="20" t="n"/>
      <c r="Y104" s="22" t="n"/>
      <c r="Z104" s="22" t="n"/>
      <c r="AA104" s="20" t="n"/>
      <c r="AB104" s="20" t="n"/>
      <c r="AC104" s="22" t="n"/>
      <c r="AD104" s="23" t="n"/>
      <c r="AE104" s="23" t="n"/>
      <c r="AF104" s="23" t="n"/>
      <c r="AG104" s="24" t="n"/>
      <c r="AH104" s="24" t="n"/>
      <c r="AI104" s="17">
        <f>IF($H104="","",IF($H104&lt;300,"下限未満（対象外）",IF($H104&gt;3000,"上限超（対象外）","範囲内")))</f>
        <v/>
      </c>
      <c r="AJ104" s="15">
        <f>IF(OR($E104="",$F104="",$AG104="",$F104&lt;=0),"",($E104-$AG104)/$F104)</f>
        <v/>
      </c>
      <c r="AK104" s="23" t="n"/>
      <c r="AL104" s="20" t="n"/>
      <c r="AM104" s="21">
        <f>COUNTIF($I104:$T104,"◯")*2+COUNTIF($I104:$T104,"△〜◯")*1.5+COUNTIF($I104:$T104,"△")*1+COUNTIF($I104:$T104,"×〜△")*0.5</f>
        <v/>
      </c>
      <c r="AN104" s="17">
        <f>COUNTIF($I104:$T104,"◯")+COUNTIF($I104:$T104,"△〜◯")+COUNTIF($I104:$T104,"△")+COUNTIF($I104:$T104,"×〜△")+COUNTIF($I104:$T104,"×")</f>
        <v/>
      </c>
      <c r="AO104" s="17">
        <f>COUNTIF($I104:$T104,"×")</f>
        <v/>
      </c>
      <c r="AP104" s="17">
        <f>COUNTIF($I104,"×")+COUNTIF($J104,"×")+COUNTIF($L104,"×")+COUNTIF($O104,"×")</f>
        <v/>
      </c>
    </row>
  </sheetData>
  <autoFilter ref="A4:AP104"/>
  <mergeCells count="7">
    <mergeCell ref="E3:H3"/>
    <mergeCell ref="U3:V3"/>
    <mergeCell ref="W3:AB3"/>
    <mergeCell ref="AC3:AL3"/>
    <mergeCell ref="C3:D3"/>
    <mergeCell ref="A3:B3"/>
    <mergeCell ref="I3:T3"/>
  </mergeCells>
  <conditionalFormatting sqref="I5:T104">
    <cfRule type="expression" priority="1" dxfId="0">
      <formula>EXACT(I5,"◯")</formula>
    </cfRule>
    <cfRule type="expression" priority="2" dxfId="1">
      <formula>EXACT(I5,"△〜◯")</formula>
    </cfRule>
    <cfRule type="expression" priority="3" dxfId="2">
      <formula>EXACT(I5,"△")</formula>
    </cfRule>
    <cfRule type="expression" priority="4" dxfId="3">
      <formula>EXACT(I5,"×〜△")</formula>
    </cfRule>
    <cfRule type="expression" priority="5" dxfId="4">
      <formula>EXACT(I5,"×")</formula>
    </cfRule>
    <cfRule type="expression" priority="6" dxfId="5">
      <formula>EXACT(I5,"－")</formula>
    </cfRule>
  </conditionalFormatting>
  <conditionalFormatting sqref="U5:U104">
    <cfRule type="expression" priority="7" dxfId="0">
      <formula>LEFT(U5,2)="A："</formula>
    </cfRule>
    <cfRule type="expression" priority="8" dxfId="2">
      <formula>LEFT(U5,2)="B："</formula>
    </cfRule>
    <cfRule type="expression" priority="9" dxfId="4">
      <formula>LEFT(U5,2)="C："</formula>
    </cfRule>
  </conditionalFormatting>
  <conditionalFormatting sqref="AI5:AI104">
    <cfRule type="expression" priority="10" dxfId="4">
      <formula>AND(AI5&lt;&gt;"",AI5&lt;&gt;"範囲内")</formula>
    </cfRule>
  </conditionalFormatting>
  <conditionalFormatting sqref="H5:H104">
    <cfRule type="expression" priority="11" dxfId="4">
      <formula>AND(H5&lt;&gt;"",OR(H5&lt;300,H5&gt;3000))</formula>
    </cfRule>
  </conditionalFormatting>
  <conditionalFormatting sqref="G5:G104">
    <cfRule type="cellIs" priority="12" operator="greaterThan" dxfId="4">
      <formula>7</formula>
    </cfRule>
  </conditionalFormatting>
  <dataValidations count="4">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1" allowBlank="1" errorTitle="評価の入力" error="◯／△〜◯／△／×〜△／×／－ から選んでください" type="list">
      <formula1>"◯,△〜◯,△,×〜△,×,－"</formula1>
    </dataValidation>
    <dataValidation sqref="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showDropDown="0" showInputMessage="0" showErrorMessage="0" allowBlank="1" type="list">
      <formula1>=選択肢!$A$3:$A$36</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=選択肢!$C$3:$C$10</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1" type="list">
      <formula1>=選択肢!$E$3:$E$14</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6" customWidth="1" min="1" max="1"/>
    <col width="30" customWidth="1" min="2" max="2"/>
    <col width="30" customWidth="1" min="3" max="3"/>
    <col width="30" customWidth="1" min="4" max="4"/>
    <col width="34" customWidth="1" min="5" max="5"/>
    <col width="7" customWidth="1" min="6" max="6"/>
  </cols>
  <sheetData>
    <row r="1">
      <c r="A1" s="1" t="inlineStr">
        <is>
          <t>判定基準（青塗り12項目のルーブリック抜粋）</t>
        </is>
      </c>
    </row>
    <row r="2">
      <c r="A2" s="2" t="inlineStr">
        <is>
          <t>正本は .claude/skills/deal-screening/references/rubric.md。ここは参照用の写しなので、閾値を変えるときは rubric.md と両方直すこと。</t>
        </is>
      </c>
    </row>
    <row r="4">
      <c r="A4" s="26" t="inlineStr">
        <is>
          <t>No</t>
        </is>
      </c>
      <c r="B4" s="26" t="inlineStr">
        <is>
          <t>評価軸</t>
        </is>
      </c>
      <c r="C4" s="26" t="inlineStr">
        <is>
          <t>◯</t>
        </is>
      </c>
      <c r="D4" s="26" t="inlineStr">
        <is>
          <t>△</t>
        </is>
      </c>
      <c r="E4" s="26" t="inlineStr">
        <is>
          <t>×</t>
        </is>
      </c>
      <c r="F4" s="26" t="inlineStr">
        <is>
          <t>Must</t>
        </is>
      </c>
    </row>
    <row r="5">
      <c r="A5" s="27" t="inlineStr">
        <is>
          <t>1-1</t>
        </is>
      </c>
      <c r="B5" s="27" t="inlineStr">
        <is>
          <t>業種ターゲットとの整合</t>
        </is>
      </c>
      <c r="C5" s="27" t="inlineStr">
        <is>
          <t>重点業種①②③に直接該当</t>
        </is>
      </c>
      <c r="D5" s="27" t="inlineStr">
        <is>
          <t>追加B群（罠を回避できる形）</t>
        </is>
      </c>
      <c r="E5" s="27" t="inlineStr">
        <is>
          <t>NG業種7カテゴリ／追加C群</t>
        </is>
      </c>
      <c r="F5" s="27" t="inlineStr">
        <is>
          <t>★</t>
        </is>
      </c>
    </row>
    <row r="6">
      <c r="A6" s="27" t="inlineStr">
        <is>
          <t>1-2</t>
        </is>
      </c>
      <c r="B6" s="27" t="inlineStr">
        <is>
          <t>TE拠出額4億円以下</t>
        </is>
      </c>
      <c r="C6" s="27" t="inlineStr">
        <is>
          <t>3.0億円以下</t>
        </is>
      </c>
      <c r="D6" s="27" t="inlineStr">
        <is>
          <t>4.0〜4.5億円</t>
        </is>
      </c>
      <c r="E6" s="27" t="inlineStr">
        <is>
          <t>5.0億円超</t>
        </is>
      </c>
      <c r="F6" s="27" t="inlineStr">
        <is>
          <t>★</t>
        </is>
      </c>
    </row>
    <row r="7">
      <c r="A7" s="27" t="inlineStr">
        <is>
          <t>1-3</t>
        </is>
      </c>
      <c r="B7" s="27" t="inlineStr">
        <is>
          <t>非キャッシュ性資産</t>
        </is>
      </c>
      <c r="C7" s="27" t="inlineStr">
        <is>
          <t>EBITDA比2.0倍以下</t>
        </is>
      </c>
      <c r="D7" s="27" t="inlineStr">
        <is>
          <t>3.0〜5.0倍</t>
        </is>
      </c>
      <c r="E7" s="27" t="inlineStr">
        <is>
          <t>8.0倍超／装置産業・不動産主体</t>
        </is>
      </c>
      <c r="F7" s="27" t="inlineStr"/>
    </row>
    <row r="8">
      <c r="A8" s="27" t="inlineStr">
        <is>
          <t>2</t>
        </is>
      </c>
      <c r="B8" s="27" t="inlineStr">
        <is>
          <t>安定黒字か</t>
        </is>
      </c>
      <c r="C8" s="27" t="inlineStr">
        <is>
          <t>3期連続黒字かつ増加基調</t>
        </is>
      </c>
      <c r="D8" s="27" t="inlineStr">
        <is>
          <t>3期黒字だが直近▲20%以上</t>
        </is>
      </c>
      <c r="E8" s="27" t="inlineStr">
        <is>
          <t>2期以上赤字／実態調整後に直近赤字</t>
        </is>
      </c>
      <c r="F8" s="27" t="inlineStr">
        <is>
          <t>★</t>
        </is>
      </c>
    </row>
    <row r="9">
      <c r="A9" s="27" t="inlineStr">
        <is>
          <t>3</t>
        </is>
      </c>
      <c r="B9" s="27" t="inlineStr">
        <is>
          <t>付加価値は高いか</t>
        </is>
      </c>
      <c r="C9" s="27" t="inlineStr">
        <is>
          <t>3期すべて粗利率30%以上</t>
        </is>
      </c>
      <c r="D9" s="27" t="inlineStr">
        <is>
          <t>3期平均25〜30%</t>
        </is>
      </c>
      <c r="E9" s="27" t="inlineStr">
        <is>
          <t>3期平均20%未満／3期で5pt以上低下</t>
        </is>
      </c>
      <c r="F9" s="27" t="inlineStr"/>
    </row>
    <row r="10">
      <c r="A10" s="27" t="inlineStr">
        <is>
          <t>4</t>
        </is>
      </c>
      <c r="B10" s="27" t="inlineStr">
        <is>
          <t>永続性は高いか</t>
        </is>
      </c>
      <c r="C10" s="27" t="inlineStr">
        <is>
          <t>人口動態・法定需要が後押し</t>
        </is>
      </c>
      <c r="D10" s="27" t="inlineStr">
        <is>
          <t>横ばい・代替技術の影響が読めない</t>
        </is>
      </c>
      <c r="E10" s="27" t="inlineStr">
        <is>
          <t>10年で構造的に消える</t>
        </is>
      </c>
      <c r="F10" s="27" t="inlineStr"/>
    </row>
    <row r="11">
      <c r="A11" s="27" t="inlineStr">
        <is>
          <t>5</t>
        </is>
      </c>
      <c r="B11" s="27" t="inlineStr">
        <is>
          <t>価格は割高ではないか</t>
        </is>
      </c>
      <c r="C11" s="27" t="inlineStr">
        <is>
          <t>②5.0倍以下</t>
        </is>
      </c>
      <c r="D11" s="27" t="inlineStr">
        <is>
          <t>②6.0〜7.0倍</t>
        </is>
      </c>
      <c r="E11" s="27" t="inlineStr">
        <is>
          <t>②8.0倍超</t>
        </is>
      </c>
      <c r="F11" s="27" t="inlineStr">
        <is>
          <t>★</t>
        </is>
      </c>
    </row>
    <row r="12">
      <c r="A12" s="27" t="inlineStr">
        <is>
          <t>8-1</t>
        </is>
      </c>
      <c r="B12" s="27" t="inlineStr">
        <is>
          <t>ストック型かフロー型か</t>
        </is>
      </c>
      <c r="C12" s="27" t="inlineStr">
        <is>
          <t>ストック比率70%以上</t>
        </is>
      </c>
      <c r="D12" s="27" t="inlineStr">
        <is>
          <t>リピート中心だが契約なし</t>
        </is>
      </c>
      <c r="E12" s="27" t="inlineStr">
        <is>
          <t>スポット・案件単位が主</t>
        </is>
      </c>
      <c r="F12" s="27" t="inlineStr"/>
    </row>
    <row r="13">
      <c r="A13" s="27" t="inlineStr">
        <is>
          <t>8-2</t>
        </is>
      </c>
      <c r="B13" s="27" t="inlineStr">
        <is>
          <t>流行り廃りはあるか</t>
        </is>
      </c>
      <c r="C13" s="27" t="inlineStr">
        <is>
          <t>生活必需・法定需要</t>
        </is>
      </c>
      <c r="D13" s="27" t="inlineStr">
        <is>
          <t>一部商材がトレンド依存</t>
        </is>
      </c>
      <c r="E13" s="27" t="inlineStr">
        <is>
          <t>嗜好・流行・立地が売上を左右</t>
        </is>
      </c>
      <c r="F13" s="27" t="inlineStr"/>
    </row>
    <row r="14">
      <c r="A14" s="27" t="inlineStr">
        <is>
          <t>9</t>
        </is>
      </c>
      <c r="B14" s="27" t="inlineStr">
        <is>
          <t>売却理由</t>
        </is>
      </c>
      <c r="C14" s="27" t="inlineStr">
        <is>
          <t>高齢・後継者不在で業績と整合</t>
        </is>
      </c>
      <c r="D14" s="27" t="inlineStr">
        <is>
          <t>理由は一般的だが裏付け不足</t>
        </is>
      </c>
      <c r="E14" s="27" t="inlineStr">
        <is>
          <t>業績悪化・係争・簿外債務の兆候と符合</t>
        </is>
      </c>
      <c r="F14" s="27" t="inlineStr"/>
    </row>
    <row r="15">
      <c r="A15" s="27" t="inlineStr">
        <is>
          <t>11</t>
        </is>
      </c>
      <c r="B15" s="27" t="inlineStr">
        <is>
          <t>特定取引先に依存していないか</t>
        </is>
      </c>
      <c r="C15" s="27" t="inlineStr">
        <is>
          <t>上位1社10%未満</t>
        </is>
      </c>
      <c r="D15" s="27" t="inlineStr">
        <is>
          <t>20〜30%</t>
        </is>
      </c>
      <c r="E15" s="27" t="inlineStr">
        <is>
          <t>50%以上／代替不能な単一発注先</t>
        </is>
      </c>
      <c r="F15" s="27" t="inlineStr"/>
    </row>
    <row r="16">
      <c r="A16" s="27" t="inlineStr">
        <is>
          <t>12</t>
        </is>
      </c>
      <c r="B16" s="27" t="inlineStr">
        <is>
          <t>特定人材に依存していないか</t>
        </is>
      </c>
      <c r="C16" s="27" t="inlineStr">
        <is>
          <t>社長不在でも運営可</t>
        </is>
      </c>
      <c r="D16" s="27" t="inlineStr">
        <is>
          <t>社長の営業依存（顧問就任で緩和）</t>
        </is>
      </c>
      <c r="E16" s="27" t="inlineStr">
        <is>
          <t>有資格者が社長のみ／職人依存</t>
        </is>
      </c>
      <c r="F16" s="27" t="inlineStr"/>
    </row>
    <row r="18">
      <c r="A18" s="28" t="inlineStr">
        <is>
          <t>総合判定</t>
        </is>
      </c>
    </row>
    <row r="19">
      <c r="A19" s="29" t="inlineStr">
        <is>
          <t>C：見送り</t>
        </is>
      </c>
      <c r="B19" s="29" t="inlineStr">
        <is>
          <t>Must項目（1-1・1-2・2・5）に×が1つ以上、または全体で×が2項目以上</t>
        </is>
      </c>
    </row>
    <row r="20">
      <c r="A20" s="29" t="inlineStr">
        <is>
          <t>A：進める</t>
        </is>
      </c>
      <c r="B20" s="29" t="inlineStr">
        <is>
          <t>×ゼロ、かつ達成率75%以上（達成率＝得点÷(判定済×2)）</t>
        </is>
      </c>
    </row>
    <row r="21">
      <c r="A21" s="29" t="inlineStr">
        <is>
          <t>B：追加情報</t>
        </is>
      </c>
      <c r="B21" s="29" t="inlineStr">
        <is>
          <t>上記以外。判定済が6項目未満のときは達成率に関わらずB</t>
        </is>
      </c>
    </row>
    <row r="23">
      <c r="A23" s="28" t="inlineStr">
        <is>
          <t>スコア</t>
        </is>
      </c>
      <c r="B23" s="29" t="inlineStr">
        <is>
          <t>◯2.0／△〜◯1.5／△1.0／×〜△0.5／×0。－は判定不能で、加算も達成率の分母もしない。</t>
        </is>
      </c>
    </row>
    <row r="25">
      <c r="A25" s="28" t="inlineStr">
        <is>
          <t>売上目安</t>
        </is>
      </c>
      <c r="B25" s="29" t="inlineStr">
        <is>
          <t>300〜3,000百万円（投資条件友井タブ No.20／仲介向け資料P10）。青塗り外の項目なので◯△×には算入せず、範囲内かの表示のみ。</t>
        </is>
      </c>
    </row>
    <row r="27">
      <c r="A27" s="28" t="inlineStr">
        <is>
          <t>EV/EBITDAの閾値</t>
        </is>
      </c>
      <c r="B27" s="29" t="inlineStr">
        <is>
          <t>投資条件タブ7倍／投資条件友井タブ5倍／仲介向け資料6倍と3資料で異なるため、◯=5倍以下・△=7倍以下・×=8倍超の段階評価に畳んでいる。統一の決定が出たら直すこと。</t>
        </is>
      </c>
    </row>
  </sheetData>
  <mergeCells count="6">
    <mergeCell ref="B23:E23"/>
    <mergeCell ref="B27:E27"/>
    <mergeCell ref="B21:E21"/>
    <mergeCell ref="B25:E25"/>
    <mergeCell ref="B19:E19"/>
    <mergeCell ref="B20:E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26" customWidth="1" min="1" max="1"/>
    <col width="2" customWidth="1" min="2" max="2"/>
    <col width="34" customWidth="1" min="3" max="3"/>
    <col width="2" customWidth="1" min="4" max="4"/>
    <col width="16" customWidth="1" min="5" max="5"/>
    <col width="2" customWidth="1" min="6" max="6"/>
    <col width="8" customWidth="1" min="7" max="7"/>
  </cols>
  <sheetData>
    <row r="1">
      <c r="A1" s="1" t="inlineStr">
        <is>
          <t>選択肢（ドロップダウンの元データ）</t>
        </is>
      </c>
    </row>
    <row r="2">
      <c r="A2" s="30" t="inlineStr">
        <is>
          <t>仲介会社</t>
        </is>
      </c>
      <c r="C2" s="30" t="inlineStr">
        <is>
          <t>業種区分</t>
        </is>
      </c>
      <c r="E2" s="30" t="inlineStr">
        <is>
          <t>ステータス</t>
        </is>
      </c>
      <c r="G2" s="30" t="inlineStr">
        <is>
          <t>評価</t>
        </is>
      </c>
    </row>
    <row r="3">
      <c r="A3" s="29" t="inlineStr">
        <is>
          <t>M&amp;Aクラウド</t>
        </is>
      </c>
      <c r="C3" s="29" t="inlineStr">
        <is>
          <t>重点①シニア</t>
        </is>
      </c>
      <c r="E3" s="29" t="inlineStr">
        <is>
          <t>未着手</t>
        </is>
      </c>
      <c r="G3" s="29" t="inlineStr">
        <is>
          <t>◯</t>
        </is>
      </c>
    </row>
    <row r="4">
      <c r="A4" s="29" t="inlineStr">
        <is>
          <t>レコフ</t>
        </is>
      </c>
      <c r="C4" s="29" t="inlineStr">
        <is>
          <t>重点②AI・DXで伸ばせる業種</t>
        </is>
      </c>
      <c r="E4" s="29" t="inlineStr">
        <is>
          <t>初期検討中</t>
        </is>
      </c>
      <c r="G4" s="29" t="inlineStr">
        <is>
          <t>△〜◯</t>
        </is>
      </c>
    </row>
    <row r="5">
      <c r="A5" s="29" t="inlineStr">
        <is>
          <t>たすき</t>
        </is>
      </c>
      <c r="C5" s="29" t="inlineStr">
        <is>
          <t>重点③エネルギー関連</t>
        </is>
      </c>
      <c r="E5" s="29" t="inlineStr">
        <is>
          <t>追加情報待ち</t>
        </is>
      </c>
      <c r="G5" s="29" t="inlineStr">
        <is>
          <t>△</t>
        </is>
      </c>
    </row>
    <row r="6">
      <c r="A6" s="29" t="inlineStr">
        <is>
          <t>インクグロウ</t>
        </is>
      </c>
      <c r="C6" s="29" t="inlineStr">
        <is>
          <t>追加A群（狙える逆張り）</t>
        </is>
      </c>
      <c r="E6" s="29" t="inlineStr">
        <is>
          <t>NDA締結</t>
        </is>
      </c>
      <c r="G6" s="29" t="inlineStr">
        <is>
          <t>×〜△</t>
        </is>
      </c>
    </row>
    <row r="7">
      <c r="A7" s="29" t="inlineStr">
        <is>
          <t>シェアモル</t>
        </is>
      </c>
      <c r="C7" s="29" t="inlineStr">
        <is>
          <t>追加B群（化けるが罠が多い・要選別）</t>
        </is>
      </c>
      <c r="E7" s="29" t="inlineStr">
        <is>
          <t>トップ面談</t>
        </is>
      </c>
      <c r="G7" s="29" t="inlineStr">
        <is>
          <t>×</t>
        </is>
      </c>
    </row>
    <row r="8">
      <c r="A8" s="29" t="inlineStr">
        <is>
          <t>ゴエンキャピタル</t>
        </is>
      </c>
      <c r="C8" s="29" t="inlineStr">
        <is>
          <t>追加C群（構造的にNG寄り・見送り推奨）</t>
        </is>
      </c>
      <c r="E8" s="29" t="inlineStr">
        <is>
          <t>意向表明</t>
        </is>
      </c>
      <c r="G8" s="29" t="inlineStr">
        <is>
          <t>－</t>
        </is>
      </c>
    </row>
    <row r="9">
      <c r="A9" s="29" t="inlineStr">
        <is>
          <t>ソーシング・ブラザーズ</t>
        </is>
      </c>
      <c r="C9" s="29" t="inlineStr">
        <is>
          <t>NG業種7カテゴリ</t>
        </is>
      </c>
      <c r="E9" s="29" t="inlineStr">
        <is>
          <t>基本合意</t>
        </is>
      </c>
    </row>
    <row r="10">
      <c r="A10" s="29" t="inlineStr">
        <is>
          <t>M&amp;Aロイヤル</t>
        </is>
      </c>
      <c r="C10" s="29" t="inlineStr">
        <is>
          <t>その他</t>
        </is>
      </c>
      <c r="E10" s="29" t="inlineStr">
        <is>
          <t>DD</t>
        </is>
      </c>
    </row>
    <row r="11">
      <c r="A11" s="29" t="inlineStr">
        <is>
          <t>Innovation M&amp;A</t>
        </is>
      </c>
      <c r="E11" s="29" t="inlineStr">
        <is>
          <t>最終契約</t>
        </is>
      </c>
    </row>
    <row r="12">
      <c r="A12" s="29" t="inlineStr">
        <is>
          <t>M&amp;Aフォース</t>
        </is>
      </c>
      <c r="E12" s="29" t="inlineStr">
        <is>
          <t>クロージング</t>
        </is>
      </c>
    </row>
    <row r="13">
      <c r="A13" s="29" t="inlineStr">
        <is>
          <t>Byside</t>
        </is>
      </c>
      <c r="E13" s="29" t="inlineStr">
        <is>
          <t>見送り</t>
        </is>
      </c>
    </row>
    <row r="14">
      <c r="A14" s="29" t="inlineStr">
        <is>
          <t>NEWOLD CAPITAL</t>
        </is>
      </c>
      <c r="E14" s="29" t="inlineStr">
        <is>
          <t>先方都合で終了</t>
        </is>
      </c>
    </row>
    <row r="15">
      <c r="A15" s="29" t="inlineStr">
        <is>
          <t>リンクタイズワークス</t>
        </is>
      </c>
    </row>
    <row r="16">
      <c r="A16" s="29" t="inlineStr">
        <is>
          <t>M&amp;Aサクシード</t>
        </is>
      </c>
    </row>
    <row r="17">
      <c r="A17" s="29" t="inlineStr">
        <is>
          <t>スピカコンサルティング</t>
        </is>
      </c>
    </row>
    <row r="18">
      <c r="A18" s="29" t="inlineStr">
        <is>
          <t>アイコンキャピタル</t>
        </is>
      </c>
    </row>
    <row r="19">
      <c r="A19" s="29" t="inlineStr">
        <is>
          <t>fundbook</t>
        </is>
      </c>
    </row>
    <row r="20">
      <c r="A20" s="29" t="inlineStr">
        <is>
          <t>maXアドバイザリー</t>
        </is>
      </c>
    </row>
    <row r="21">
      <c r="A21" s="29" t="inlineStr">
        <is>
          <t>ウィルゲート</t>
        </is>
      </c>
    </row>
    <row r="22">
      <c r="A22" s="29" t="inlineStr">
        <is>
          <t>バディーズ</t>
        </is>
      </c>
    </row>
    <row r="23">
      <c r="A23" s="29" t="inlineStr">
        <is>
          <t>M&amp;A総合研究所</t>
        </is>
      </c>
    </row>
    <row r="24">
      <c r="A24" s="29" t="inlineStr">
        <is>
          <t>M&amp;A承継機構</t>
        </is>
      </c>
    </row>
    <row r="25">
      <c r="A25" s="29" t="inlineStr">
        <is>
          <t>名南M&amp;A</t>
        </is>
      </c>
    </row>
    <row r="26">
      <c r="A26" s="29" t="inlineStr">
        <is>
          <t>HCフィナンシャル</t>
        </is>
      </c>
    </row>
    <row r="27">
      <c r="A27" s="29" t="inlineStr">
        <is>
          <t>M&amp;Aキャピタルパートナーズ</t>
        </is>
      </c>
    </row>
    <row r="28">
      <c r="A28" s="29" t="inlineStr">
        <is>
          <t>Anyglo</t>
        </is>
      </c>
    </row>
    <row r="29">
      <c r="A29" s="29" t="inlineStr">
        <is>
          <t>M&amp;A Lead</t>
        </is>
      </c>
    </row>
    <row r="30">
      <c r="A30" s="29" t="inlineStr">
        <is>
          <t>プレックス</t>
        </is>
      </c>
    </row>
    <row r="31">
      <c r="A31" s="29" t="inlineStr">
        <is>
          <t>ストライク</t>
        </is>
      </c>
    </row>
    <row r="32">
      <c r="A32" s="29" t="inlineStr">
        <is>
          <t>インテグループ</t>
        </is>
      </c>
    </row>
    <row r="33">
      <c r="A33" s="29" t="inlineStr">
        <is>
          <t>オンデック</t>
        </is>
      </c>
    </row>
    <row r="34">
      <c r="A34" s="29" t="inlineStr">
        <is>
          <t>M&amp;A開発支援</t>
        </is>
      </c>
    </row>
    <row r="35">
      <c r="A35" s="29" t="inlineStr">
        <is>
          <t>ブティックス</t>
        </is>
      </c>
    </row>
    <row r="36">
      <c r="A36" s="29" t="inlineStr">
        <is>
          <t>M&amp;Aプロパティーズ</t>
        </is>
      </c>
    </row>
    <row r="40">
      <c r="A40" s="2" t="inlineStr">
        <is>
          <t>仲介会社は「仲介会社資料管理」フォルダの34社。増えたらここに足せば案件管理タブの選択肢に反映される。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2026-09-28T09:27:20Z</dcterms:created>
  <dcterms:modified xsi:type="dcterms:W3CDTF">2026-09-28T09:27:21Z</dcterms:modified>
</cp:coreProperties>
</file>