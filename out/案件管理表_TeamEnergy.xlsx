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案件管理" sheetId="1" state="visible" r:id="rId1"/>
    <sheet name="初期検討" sheetId="2" state="visible" r:id="rId2"/>
    <sheet name="判定基準" sheetId="3" state="visible" r:id="rId3"/>
    <sheet name="選択肢"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quot;倍&quot;"/>
    <numFmt numFmtId="167" formatCode="yyyy/mm/dd"/>
  </numFmts>
  <fonts count="7">
    <font>
      <name val="Calibri"/>
      <family val="2"/>
      <color theme="1"/>
      <sz val="11"/>
      <scheme val="minor"/>
    </font>
    <font>
      <name val="Arial"/>
      <b val="1"/>
      <color rgb="00141414"/>
      <sz val="14"/>
    </font>
    <font>
      <name val="Arial"/>
      <color rgb="006D6D6F"/>
      <sz val="9"/>
    </font>
    <font>
      <name val="Arial"/>
      <b val="1"/>
      <color rgb="00141414"/>
      <sz val="9"/>
    </font>
    <font>
      <name val="Arial"/>
      <color rgb="00141414"/>
      <sz val="10"/>
    </font>
    <font>
      <name val="Arial"/>
      <color rgb="00008000"/>
      <sz val="10"/>
    </font>
    <font>
      <name val="Arial"/>
      <color rgb="000000FF"/>
      <sz val="10"/>
    </font>
  </fonts>
  <fills count="6">
    <fill>
      <patternFill/>
    </fill>
    <fill>
      <patternFill patternType="gray125"/>
    </fill>
    <fill>
      <patternFill patternType="solid">
        <fgColor rgb="00CFE2F3"/>
      </patternFill>
    </fill>
    <fill>
      <patternFill patternType="solid">
        <fgColor rgb="00FFFDE7"/>
      </patternFill>
    </fill>
    <fill>
      <patternFill patternType="solid">
        <fgColor rgb="00F3F3F3"/>
      </patternFill>
    </fill>
    <fill>
      <patternFill patternType="solid">
        <fgColor rgb="00E2E2E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3" fillId="5" borderId="1" applyAlignment="1" pivotButton="0" quotePrefix="0" xfId="0">
      <alignment horizontal="center" vertical="center" wrapText="1"/>
    </xf>
    <xf numFmtId="0" fontId="6" fillId="3" borderId="1" applyAlignment="1" pivotButton="0" quotePrefix="0" xfId="0">
      <alignment vertical="top"/>
    </xf>
    <xf numFmtId="167" fontId="6" fillId="3" borderId="1" applyAlignment="1" pivotButton="0" quotePrefix="0" xfId="0">
      <alignment vertical="top"/>
    </xf>
    <xf numFmtId="0" fontId="6" fillId="3" borderId="1" applyAlignment="1" pivotButton="0" quotePrefix="0" xfId="0">
      <alignment vertical="top" wrapText="1"/>
    </xf>
    <xf numFmtId="165" fontId="6" fillId="3" borderId="1" applyAlignment="1" pivotButton="0" quotePrefix="0" xfId="0">
      <alignment vertical="top"/>
    </xf>
    <xf numFmtId="166" fontId="4" fillId="4" borderId="1" applyAlignment="1" pivotButton="0" quotePrefix="0" xfId="0">
      <alignment vertical="top"/>
    </xf>
    <xf numFmtId="0" fontId="4" fillId="4" borderId="1" applyAlignment="1" pivotButton="0" quotePrefix="0" xfId="0">
      <alignment vertical="top"/>
    </xf>
    <xf numFmtId="9" fontId="4" fillId="4"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0" fontId="6" fillId="3" borderId="1" pivotButton="0" quotePrefix="0" xfId="0"/>
    <xf numFmtId="0" fontId="5" fillId="0" borderId="1" pivotButton="0" quotePrefix="0" xfId="0"/>
    <xf numFmtId="0" fontId="6" fillId="3" borderId="1" applyAlignment="1" pivotButton="0" quotePrefix="0" xfId="0">
      <alignment horizontal="center"/>
    </xf>
    <xf numFmtId="164" fontId="4" fillId="4" borderId="1" pivotButton="0" quotePrefix="0" xfId="0"/>
    <xf numFmtId="0" fontId="4" fillId="4" borderId="1" pivotButton="0" quotePrefix="0" xfId="0"/>
    <xf numFmtId="9" fontId="4" fillId="4" borderId="1" pivotButton="0" quotePrefix="0" xfId="0"/>
    <xf numFmtId="0" fontId="4" fillId="3" borderId="1" pivotButton="0" quotePrefix="0" xfId="0"/>
    <xf numFmtId="0" fontId="4" fillId="3" borderId="1" applyAlignment="1" pivotButton="0" quotePrefix="0" xfId="0">
      <alignment horizontal="center"/>
    </xf>
    <xf numFmtId="0" fontId="3" fillId="2" borderId="1" applyAlignment="1" pivotButton="0" quotePrefix="0" xfId="0">
      <alignment vertical="top" wrapText="1"/>
    </xf>
    <xf numFmtId="0" fontId="4" fillId="0" borderId="1" applyAlignment="1" pivotButton="0" quotePrefix="0" xfId="0">
      <alignment vertical="top" wrapText="1"/>
    </xf>
    <xf numFmtId="0" fontId="3" fillId="0" borderId="0" pivotButton="0" quotePrefix="0" xfId="0"/>
    <xf numFmtId="0" fontId="4" fillId="0" borderId="0" pivotButton="0" quotePrefix="0" xfId="0"/>
    <xf numFmtId="0" fontId="3" fillId="2" borderId="0" pivotButton="0" quotePrefix="0" xfId="0"/>
  </cellXfs>
  <cellStyles count="1">
    <cellStyle name="Normal" xfId="0" builtinId="0" hidden="0"/>
  </cellStyles>
  <dxfs count="6">
    <dxf>
      <fill>
        <patternFill patternType="solid">
          <fgColor rgb="00B7E1CD"/>
        </patternFill>
      </fill>
    </dxf>
    <dxf>
      <fill>
        <patternFill patternType="solid">
          <fgColor rgb="00FFF2CC"/>
        </patternFill>
      </fill>
    </dxf>
    <dxf>
      <fill>
        <patternFill patternType="solid">
          <fgColor rgb="00F4C7C3"/>
        </patternFill>
      </fill>
    </dxf>
    <dxf>
      <fill>
        <patternFill patternType="solid">
          <fgColor rgb="00D9EAD3"/>
        </patternFill>
      </fill>
    </dxf>
    <dxf>
      <fill>
        <patternFill patternType="solid">
          <fgColor rgb="00FCE5CD"/>
        </patternFill>
      </fill>
    </dxf>
    <dxf>
      <fill>
        <patternFill patternType="solid">
          <fgColor rgb="00EFEF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0" customWidth="1" min="3" max="3"/>
    <col width="13" customWidth="1" min="4" max="4"/>
    <col width="26" customWidth="1" min="5" max="5"/>
    <col width="46" customWidth="1" min="6" max="6"/>
    <col width="26" customWidth="1" min="7" max="7"/>
    <col width="13" customWidth="1" min="8" max="8"/>
    <col width="11" customWidth="1" min="9" max="9"/>
    <col width="11" customWidth="1" min="10" max="10"/>
    <col width="17" customWidth="1" min="11" max="11"/>
    <col width="11" customWidth="1" min="12" max="12"/>
    <col width="12" customWidth="1" min="13" max="13"/>
    <col width="15" customWidth="1" min="14" max="14"/>
    <col width="17" customWidth="1" min="15" max="15"/>
    <col width="15" customWidth="1" min="16" max="16"/>
    <col width="27" customWidth="1" min="17" max="17"/>
    <col width="8" customWidth="1" min="18" max="18"/>
    <col width="14" customWidth="1" min="19" max="19"/>
    <col width="28" customWidth="1" min="20" max="20"/>
    <col width="11" customWidth="1" min="21" max="21"/>
    <col width="12" customWidth="1" min="22" max="22"/>
    <col width="28" customWidth="1" min="23" max="23"/>
    <col width="22" customWidth="1" min="24" max="24"/>
    <col width="28" customWidth="1" min="25" max="25"/>
  </cols>
  <sheetData>
    <row r="1">
      <c r="A1" s="1" t="inlineStr">
        <is>
          <t>案件管理</t>
        </is>
      </c>
    </row>
    <row r="2">
      <c r="A2" s="2" t="inlineStr">
        <is>
          <t>【凡例】薄い黄色のセルが入力欄、灰色は自動計算（触らない）。緑字は初期検討タブからの参照。金額の単位はすべて百万円。4行目は架空の記入例（削除可）、5行目は実案件の入力済みサンプルです。</t>
        </is>
      </c>
    </row>
    <row r="3" ht="32" customHeight="1">
      <c r="A3" s="3" t="inlineStr">
        <is>
          <t>No</t>
        </is>
      </c>
      <c r="B3" s="3" t="inlineStr">
        <is>
          <t>流入日</t>
        </is>
      </c>
      <c r="C3" s="3" t="inlineStr">
        <is>
          <t>仲介会社</t>
        </is>
      </c>
      <c r="D3" s="3" t="inlineStr">
        <is>
          <t>仲介担当者</t>
        </is>
      </c>
      <c r="E3" s="3" t="inlineStr">
        <is>
          <t>企業名</t>
        </is>
      </c>
      <c r="F3" s="3" t="inlineStr">
        <is>
          <t>事業内容</t>
        </is>
      </c>
      <c r="G3" s="3" t="inlineStr">
        <is>
          <t>業種区分</t>
        </is>
      </c>
      <c r="H3" s="3" t="inlineStr">
        <is>
          <t>所在地</t>
        </is>
      </c>
      <c r="I3" s="3" t="inlineStr">
        <is>
          <t>譲渡価格</t>
        </is>
      </c>
      <c r="J3" s="3" t="inlineStr">
        <is>
          <t>実態EBITDA</t>
        </is>
      </c>
      <c r="K3" s="4" t="inlineStr">
        <is>
          <t>EV/EBITDAマルチプル</t>
        </is>
      </c>
      <c r="L3" s="3" t="inlineStr">
        <is>
          <t>売上</t>
        </is>
      </c>
      <c r="M3" s="3" t="inlineStr">
        <is>
          <t>簿価NetCash</t>
        </is>
      </c>
      <c r="N3" s="3" t="inlineStr">
        <is>
          <t>平均必要運転資金</t>
        </is>
      </c>
      <c r="O3" s="4" t="inlineStr">
        <is>
          <t>参考：簿価ベース倍率</t>
        </is>
      </c>
      <c r="P3" s="4" t="inlineStr">
        <is>
          <t>売上レンジ</t>
        </is>
      </c>
      <c r="Q3" s="4" t="inlineStr">
        <is>
          <t>総合判定</t>
        </is>
      </c>
      <c r="R3" s="4" t="inlineStr">
        <is>
          <t>達成率</t>
        </is>
      </c>
      <c r="S3" s="3" t="inlineStr">
        <is>
          <t>ステータス</t>
        </is>
      </c>
      <c r="T3" s="3" t="inlineStr">
        <is>
          <t>次アクション</t>
        </is>
      </c>
      <c r="U3" s="3" t="inlineStr">
        <is>
          <t>期限</t>
        </is>
      </c>
      <c r="V3" s="3" t="inlineStr">
        <is>
          <t>意向表明期限</t>
        </is>
      </c>
      <c r="W3" s="3" t="inlineStr">
        <is>
          <t>見送り理由</t>
        </is>
      </c>
      <c r="X3" s="3" t="inlineStr">
        <is>
          <t>資料保管先／IM</t>
        </is>
      </c>
      <c r="Y3" s="3" t="inlineStr">
        <is>
          <t>備考</t>
        </is>
      </c>
    </row>
    <row r="4">
      <c r="A4" s="5" t="n">
        <v>1</v>
      </c>
      <c r="B4" s="6" t="inlineStr">
        <is>
          <t>2026/09/20</t>
        </is>
      </c>
      <c r="C4" s="5" t="inlineStr">
        <is>
          <t>maXアドバイザリー</t>
        </is>
      </c>
      <c r="D4" s="5" t="inlineStr">
        <is>
          <t>稲見様</t>
        </is>
      </c>
      <c r="E4" s="5" t="inlineStr">
        <is>
          <t>（記入例）株式会社サンプル配食サービス</t>
        </is>
      </c>
      <c r="F4" s="7" t="inlineStr">
        <is>
          <t>高齢者向けの栄養管理食を製造し、定期宅配で提供。売上の8割が月額定期契約</t>
        </is>
      </c>
      <c r="G4" s="5" t="inlineStr">
        <is>
          <t>重点①シニア</t>
        </is>
      </c>
      <c r="H4" s="5" t="inlineStr">
        <is>
          <t>大阪府</t>
        </is>
      </c>
      <c r="I4" s="8" t="n">
        <v>480</v>
      </c>
      <c r="J4" s="8" t="n">
        <v>95</v>
      </c>
      <c r="K4" s="9">
        <f>IF(OR($I4="",$J4="",$M4="",$N4="",$J4&lt;=0),"",($I4-($M4-$N4))/$J4)</f>
        <v/>
      </c>
      <c r="L4" s="8" t="n">
        <v>1240</v>
      </c>
      <c r="M4" s="8" t="n">
        <v>60</v>
      </c>
      <c r="N4" s="8" t="n">
        <v>25</v>
      </c>
      <c r="O4" s="9">
        <f>IF(OR($I4="",$J4="",$M4="",$J4&lt;=0),"",($I4-$M4)/$J4)</f>
        <v/>
      </c>
      <c r="P4" s="10">
        <f>IF($L4="","",IF($L4&lt;300,"下限未満（対象外）",IF($L4&gt;3000,"上限超（対象外）","範囲内")))</f>
        <v/>
      </c>
      <c r="Q4" s="10">
        <f>IF($A4="","",IFERROR(INDEX(初期検討!$S:$S,MATCH($A4,初期検討!$A:$A,0)),""))</f>
        <v/>
      </c>
      <c r="R4" s="11">
        <f>IF($A4="","",IFERROR(INDEX(初期検討!$T:$T,MATCH($A4,初期検討!$A:$A,0)),""))</f>
        <v/>
      </c>
      <c r="S4" s="5" t="inlineStr">
        <is>
          <t>初期検討中</t>
        </is>
      </c>
      <c r="T4" s="7" t="inlineStr">
        <is>
          <t>得意先別売上構成の受領を依頼</t>
        </is>
      </c>
      <c r="U4" s="6" t="inlineStr">
        <is>
          <t>2026/10/03</t>
        </is>
      </c>
      <c r="V4" s="6" t="inlineStr">
        <is>
          <t>2026/10/31</t>
        </is>
      </c>
      <c r="W4" s="12" t="n"/>
      <c r="X4" s="5" t="inlineStr">
        <is>
          <t>仲介会社資料管理／maX</t>
        </is>
      </c>
      <c r="Y4" s="7" t="inlineStr">
        <is>
          <t>架空の例。使い始めるときにこの行を削除してください</t>
        </is>
      </c>
    </row>
    <row r="5">
      <c r="A5" s="5" t="n">
        <v>2</v>
      </c>
      <c r="B5" s="6" t="inlineStr">
        <is>
          <t>2026/09/28</t>
        </is>
      </c>
      <c r="C5" s="5" t="inlineStr">
        <is>
          <t>maXアドバイザリー</t>
        </is>
      </c>
      <c r="D5" s="5" t="inlineStr">
        <is>
          <t>稲見様</t>
        </is>
      </c>
      <c r="E5" s="5" t="inlineStr">
        <is>
          <t>尾形工業株式会社</t>
        </is>
      </c>
      <c r="F5" s="7" t="inlineStr">
        <is>
          <t>左官工事。マンション・ビルの補修／断面修復が約70%、一般住宅の漆喰・珪藻土塗りが約30%。自社職人33名</t>
        </is>
      </c>
      <c r="G5" s="5" t="inlineStr">
        <is>
          <t>NG業種7カテゴリ</t>
        </is>
      </c>
      <c r="H5" s="5" t="inlineStr">
        <is>
          <t>千葉県船橋市</t>
        </is>
      </c>
      <c r="I5" s="8" t="n">
        <v>60</v>
      </c>
      <c r="J5" s="8" t="n">
        <v>24.1</v>
      </c>
      <c r="K5" s="9">
        <f>IF(OR($I5="",$J5="",$M5="",$N5="",$J5&lt;=0),"",($I5-($M5-$N5))/$J5)</f>
        <v/>
      </c>
      <c r="L5" s="8" t="n">
        <v>774</v>
      </c>
      <c r="M5" s="8" t="n">
        <v>-206.9</v>
      </c>
      <c r="N5" s="8" t="n">
        <v>200.4</v>
      </c>
      <c r="O5" s="9">
        <f>IF(OR($I5="",$J5="",$M5="",$J5&lt;=0),"",($I5-$M5)/$J5)</f>
        <v/>
      </c>
      <c r="P5" s="10">
        <f>IF($L5="","",IF($L5&lt;300,"下限未満（対象外）",IF($L5&gt;3000,"上限超（対象外）","範囲内")))</f>
        <v/>
      </c>
      <c r="Q5" s="10">
        <f>IF($A5="","",IFERROR(INDEX(初期検討!$S:$S,MATCH($A5,初期検討!$A:$A,0)),""))</f>
        <v/>
      </c>
      <c r="R5" s="11">
        <f>IF($A5="","",IFERROR(INDEX(初期検討!$T:$T,MATCH($A5,初期検討!$A:$A,0)),""))</f>
        <v/>
      </c>
      <c r="S5" s="5" t="inlineStr">
        <is>
          <t>見送り</t>
        </is>
      </c>
      <c r="T5" s="7" t="inlineStr">
        <is>
          <t>見送りの連絡と、今後の案件テーマのすり合わせ</t>
        </is>
      </c>
      <c r="U5" s="6" t="inlineStr">
        <is>
          <t>2026/10/02</t>
        </is>
      </c>
      <c r="V5" s="13" t="n"/>
      <c r="W5" s="7" t="inlineStr">
        <is>
          <t>業種がNG❹（職人依存型の建設工事）に該当。EV/EBITDAも19.4倍で価格条件を満たさない</t>
        </is>
      </c>
      <c r="X5" s="5" t="inlineStr">
        <is>
          <t>仲介会社資料管理／maX</t>
        </is>
      </c>
      <c r="Y5" s="7" t="inlineStr">
        <is>
          <t>IMに第三者公表を控える旨の記載あり。外部共有時は注意</t>
        </is>
      </c>
    </row>
    <row r="6">
      <c r="A6" s="14" t="n"/>
      <c r="B6" s="13" t="n"/>
      <c r="C6" s="14" t="n"/>
      <c r="D6" s="14" t="n"/>
      <c r="E6" s="14" t="n"/>
      <c r="F6" s="12" t="n"/>
      <c r="G6" s="14" t="n"/>
      <c r="H6" s="14" t="n"/>
      <c r="I6" s="15" t="n"/>
      <c r="J6" s="15" t="n"/>
      <c r="K6" s="9">
        <f>IF(OR($I6="",$J6="",$M6="",$N6="",$J6&lt;=0),"",($I6-($M6-$N6))/$J6)</f>
        <v/>
      </c>
      <c r="L6" s="15" t="n"/>
      <c r="M6" s="15" t="n"/>
      <c r="N6" s="15" t="n"/>
      <c r="O6" s="9">
        <f>IF(OR($I6="",$J6="",$M6="",$J6&lt;=0),"",($I6-$M6)/$J6)</f>
        <v/>
      </c>
      <c r="P6" s="10">
        <f>IF($L6="","",IF($L6&lt;300,"下限未満（対象外）",IF($L6&gt;3000,"上限超（対象外）","範囲内")))</f>
        <v/>
      </c>
      <c r="Q6" s="10">
        <f>IF($A6="","",IFERROR(INDEX(初期検討!$S:$S,MATCH($A6,初期検討!$A:$A,0)),""))</f>
        <v/>
      </c>
      <c r="R6" s="11">
        <f>IF($A6="","",IFERROR(INDEX(初期検討!$T:$T,MATCH($A6,初期検討!$A:$A,0)),""))</f>
        <v/>
      </c>
      <c r="S6" s="14" t="n"/>
      <c r="T6" s="12" t="n"/>
      <c r="U6" s="13" t="n"/>
      <c r="V6" s="13" t="n"/>
      <c r="W6" s="12" t="n"/>
      <c r="X6" s="14" t="n"/>
      <c r="Y6" s="12" t="n"/>
    </row>
    <row r="7">
      <c r="A7" s="14" t="n"/>
      <c r="B7" s="13" t="n"/>
      <c r="C7" s="14" t="n"/>
      <c r="D7" s="14" t="n"/>
      <c r="E7" s="14" t="n"/>
      <c r="F7" s="12" t="n"/>
      <c r="G7" s="14" t="n"/>
      <c r="H7" s="14" t="n"/>
      <c r="I7" s="15" t="n"/>
      <c r="J7" s="15" t="n"/>
      <c r="K7" s="9">
        <f>IF(OR($I7="",$J7="",$M7="",$N7="",$J7&lt;=0),"",($I7-($M7-$N7))/$J7)</f>
        <v/>
      </c>
      <c r="L7" s="15" t="n"/>
      <c r="M7" s="15" t="n"/>
      <c r="N7" s="15" t="n"/>
      <c r="O7" s="9">
        <f>IF(OR($I7="",$J7="",$M7="",$J7&lt;=0),"",($I7-$M7)/$J7)</f>
        <v/>
      </c>
      <c r="P7" s="10">
        <f>IF($L7="","",IF($L7&lt;300,"下限未満（対象外）",IF($L7&gt;3000,"上限超（対象外）","範囲内")))</f>
        <v/>
      </c>
      <c r="Q7" s="10">
        <f>IF($A7="","",IFERROR(INDEX(初期検討!$S:$S,MATCH($A7,初期検討!$A:$A,0)),""))</f>
        <v/>
      </c>
      <c r="R7" s="11">
        <f>IF($A7="","",IFERROR(INDEX(初期検討!$T:$T,MATCH($A7,初期検討!$A:$A,0)),""))</f>
        <v/>
      </c>
      <c r="S7" s="14" t="n"/>
      <c r="T7" s="12" t="n"/>
      <c r="U7" s="13" t="n"/>
      <c r="V7" s="13" t="n"/>
      <c r="W7" s="12" t="n"/>
      <c r="X7" s="14" t="n"/>
      <c r="Y7" s="12" t="n"/>
    </row>
    <row r="8">
      <c r="A8" s="14" t="n"/>
      <c r="B8" s="13" t="n"/>
      <c r="C8" s="14" t="n"/>
      <c r="D8" s="14" t="n"/>
      <c r="E8" s="14" t="n"/>
      <c r="F8" s="12" t="n"/>
      <c r="G8" s="14" t="n"/>
      <c r="H8" s="14" t="n"/>
      <c r="I8" s="15" t="n"/>
      <c r="J8" s="15" t="n"/>
      <c r="K8" s="9">
        <f>IF(OR($I8="",$J8="",$M8="",$N8="",$J8&lt;=0),"",($I8-($M8-$N8))/$J8)</f>
        <v/>
      </c>
      <c r="L8" s="15" t="n"/>
      <c r="M8" s="15" t="n"/>
      <c r="N8" s="15" t="n"/>
      <c r="O8" s="9">
        <f>IF(OR($I8="",$J8="",$M8="",$J8&lt;=0),"",($I8-$M8)/$J8)</f>
        <v/>
      </c>
      <c r="P8" s="10">
        <f>IF($L8="","",IF($L8&lt;300,"下限未満（対象外）",IF($L8&gt;3000,"上限超（対象外）","範囲内")))</f>
        <v/>
      </c>
      <c r="Q8" s="10">
        <f>IF($A8="","",IFERROR(INDEX(初期検討!$S:$S,MATCH($A8,初期検討!$A:$A,0)),""))</f>
        <v/>
      </c>
      <c r="R8" s="11">
        <f>IF($A8="","",IFERROR(INDEX(初期検討!$T:$T,MATCH($A8,初期検討!$A:$A,0)),""))</f>
        <v/>
      </c>
      <c r="S8" s="14" t="n"/>
      <c r="T8" s="12" t="n"/>
      <c r="U8" s="13" t="n"/>
      <c r="V8" s="13" t="n"/>
      <c r="W8" s="12" t="n"/>
      <c r="X8" s="14" t="n"/>
      <c r="Y8" s="12" t="n"/>
    </row>
    <row r="9">
      <c r="A9" s="14" t="n"/>
      <c r="B9" s="13" t="n"/>
      <c r="C9" s="14" t="n"/>
      <c r="D9" s="14" t="n"/>
      <c r="E9" s="14" t="n"/>
      <c r="F9" s="12" t="n"/>
      <c r="G9" s="14" t="n"/>
      <c r="H9" s="14" t="n"/>
      <c r="I9" s="15" t="n"/>
      <c r="J9" s="15" t="n"/>
      <c r="K9" s="9">
        <f>IF(OR($I9="",$J9="",$M9="",$N9="",$J9&lt;=0),"",($I9-($M9-$N9))/$J9)</f>
        <v/>
      </c>
      <c r="L9" s="15" t="n"/>
      <c r="M9" s="15" t="n"/>
      <c r="N9" s="15" t="n"/>
      <c r="O9" s="9">
        <f>IF(OR($I9="",$J9="",$M9="",$J9&lt;=0),"",($I9-$M9)/$J9)</f>
        <v/>
      </c>
      <c r="P9" s="10">
        <f>IF($L9="","",IF($L9&lt;300,"下限未満（対象外）",IF($L9&gt;3000,"上限超（対象外）","範囲内")))</f>
        <v/>
      </c>
      <c r="Q9" s="10">
        <f>IF($A9="","",IFERROR(INDEX(初期検討!$S:$S,MATCH($A9,初期検討!$A:$A,0)),""))</f>
        <v/>
      </c>
      <c r="R9" s="11">
        <f>IF($A9="","",IFERROR(INDEX(初期検討!$T:$T,MATCH($A9,初期検討!$A:$A,0)),""))</f>
        <v/>
      </c>
      <c r="S9" s="14" t="n"/>
      <c r="T9" s="12" t="n"/>
      <c r="U9" s="13" t="n"/>
      <c r="V9" s="13" t="n"/>
      <c r="W9" s="12" t="n"/>
      <c r="X9" s="14" t="n"/>
      <c r="Y9" s="12" t="n"/>
    </row>
    <row r="10">
      <c r="A10" s="14" t="n"/>
      <c r="B10" s="13" t="n"/>
      <c r="C10" s="14" t="n"/>
      <c r="D10" s="14" t="n"/>
      <c r="E10" s="14" t="n"/>
      <c r="F10" s="12" t="n"/>
      <c r="G10" s="14" t="n"/>
      <c r="H10" s="14" t="n"/>
      <c r="I10" s="15" t="n"/>
      <c r="J10" s="15" t="n"/>
      <c r="K10" s="9">
        <f>IF(OR($I10="",$J10="",$M10="",$N10="",$J10&lt;=0),"",($I10-($M10-$N10))/$J10)</f>
        <v/>
      </c>
      <c r="L10" s="15" t="n"/>
      <c r="M10" s="15" t="n"/>
      <c r="N10" s="15" t="n"/>
      <c r="O10" s="9">
        <f>IF(OR($I10="",$J10="",$M10="",$J10&lt;=0),"",($I10-$M10)/$J10)</f>
        <v/>
      </c>
      <c r="P10" s="10">
        <f>IF($L10="","",IF($L10&lt;300,"下限未満（対象外）",IF($L10&gt;3000,"上限超（対象外）","範囲内")))</f>
        <v/>
      </c>
      <c r="Q10" s="10">
        <f>IF($A10="","",IFERROR(INDEX(初期検討!$S:$S,MATCH($A10,初期検討!$A:$A,0)),""))</f>
        <v/>
      </c>
      <c r="R10" s="11">
        <f>IF($A10="","",IFERROR(INDEX(初期検討!$T:$T,MATCH($A10,初期検討!$A:$A,0)),""))</f>
        <v/>
      </c>
      <c r="S10" s="14" t="n"/>
      <c r="T10" s="12" t="n"/>
      <c r="U10" s="13" t="n"/>
      <c r="V10" s="13" t="n"/>
      <c r="W10" s="12" t="n"/>
      <c r="X10" s="14" t="n"/>
      <c r="Y10" s="12" t="n"/>
    </row>
    <row r="11">
      <c r="A11" s="14" t="n"/>
      <c r="B11" s="13" t="n"/>
      <c r="C11" s="14" t="n"/>
      <c r="D11" s="14" t="n"/>
      <c r="E11" s="14" t="n"/>
      <c r="F11" s="12" t="n"/>
      <c r="G11" s="14" t="n"/>
      <c r="H11" s="14" t="n"/>
      <c r="I11" s="15" t="n"/>
      <c r="J11" s="15" t="n"/>
      <c r="K11" s="9">
        <f>IF(OR($I11="",$J11="",$M11="",$N11="",$J11&lt;=0),"",($I11-($M11-$N11))/$J11)</f>
        <v/>
      </c>
      <c r="L11" s="15" t="n"/>
      <c r="M11" s="15" t="n"/>
      <c r="N11" s="15" t="n"/>
      <c r="O11" s="9">
        <f>IF(OR($I11="",$J11="",$M11="",$J11&lt;=0),"",($I11-$M11)/$J11)</f>
        <v/>
      </c>
      <c r="P11" s="10">
        <f>IF($L11="","",IF($L11&lt;300,"下限未満（対象外）",IF($L11&gt;3000,"上限超（対象外）","範囲内")))</f>
        <v/>
      </c>
      <c r="Q11" s="10">
        <f>IF($A11="","",IFERROR(INDEX(初期検討!$S:$S,MATCH($A11,初期検討!$A:$A,0)),""))</f>
        <v/>
      </c>
      <c r="R11" s="11">
        <f>IF($A11="","",IFERROR(INDEX(初期検討!$T:$T,MATCH($A11,初期検討!$A:$A,0)),""))</f>
        <v/>
      </c>
      <c r="S11" s="14" t="n"/>
      <c r="T11" s="12" t="n"/>
      <c r="U11" s="13" t="n"/>
      <c r="V11" s="13" t="n"/>
      <c r="W11" s="12" t="n"/>
      <c r="X11" s="14" t="n"/>
      <c r="Y11" s="12" t="n"/>
    </row>
    <row r="12">
      <c r="A12" s="14" t="n"/>
      <c r="B12" s="13" t="n"/>
      <c r="C12" s="14" t="n"/>
      <c r="D12" s="14" t="n"/>
      <c r="E12" s="14" t="n"/>
      <c r="F12" s="12" t="n"/>
      <c r="G12" s="14" t="n"/>
      <c r="H12" s="14" t="n"/>
      <c r="I12" s="15" t="n"/>
      <c r="J12" s="15" t="n"/>
      <c r="K12" s="9">
        <f>IF(OR($I12="",$J12="",$M12="",$N12="",$J12&lt;=0),"",($I12-($M12-$N12))/$J12)</f>
        <v/>
      </c>
      <c r="L12" s="15" t="n"/>
      <c r="M12" s="15" t="n"/>
      <c r="N12" s="15" t="n"/>
      <c r="O12" s="9">
        <f>IF(OR($I12="",$J12="",$M12="",$J12&lt;=0),"",($I12-$M12)/$J12)</f>
        <v/>
      </c>
      <c r="P12" s="10">
        <f>IF($L12="","",IF($L12&lt;300,"下限未満（対象外）",IF($L12&gt;3000,"上限超（対象外）","範囲内")))</f>
        <v/>
      </c>
      <c r="Q12" s="10">
        <f>IF($A12="","",IFERROR(INDEX(初期検討!$S:$S,MATCH($A12,初期検討!$A:$A,0)),""))</f>
        <v/>
      </c>
      <c r="R12" s="11">
        <f>IF($A12="","",IFERROR(INDEX(初期検討!$T:$T,MATCH($A12,初期検討!$A:$A,0)),""))</f>
        <v/>
      </c>
      <c r="S12" s="14" t="n"/>
      <c r="T12" s="12" t="n"/>
      <c r="U12" s="13" t="n"/>
      <c r="V12" s="13" t="n"/>
      <c r="W12" s="12" t="n"/>
      <c r="X12" s="14" t="n"/>
      <c r="Y12" s="12" t="n"/>
    </row>
    <row r="13">
      <c r="A13" s="14" t="n"/>
      <c r="B13" s="13" t="n"/>
      <c r="C13" s="14" t="n"/>
      <c r="D13" s="14" t="n"/>
      <c r="E13" s="14" t="n"/>
      <c r="F13" s="12" t="n"/>
      <c r="G13" s="14" t="n"/>
      <c r="H13" s="14" t="n"/>
      <c r="I13" s="15" t="n"/>
      <c r="J13" s="15" t="n"/>
      <c r="K13" s="9">
        <f>IF(OR($I13="",$J13="",$M13="",$N13="",$J13&lt;=0),"",($I13-($M13-$N13))/$J13)</f>
        <v/>
      </c>
      <c r="L13" s="15" t="n"/>
      <c r="M13" s="15" t="n"/>
      <c r="N13" s="15" t="n"/>
      <c r="O13" s="9">
        <f>IF(OR($I13="",$J13="",$M13="",$J13&lt;=0),"",($I13-$M13)/$J13)</f>
        <v/>
      </c>
      <c r="P13" s="10">
        <f>IF($L13="","",IF($L13&lt;300,"下限未満（対象外）",IF($L13&gt;3000,"上限超（対象外）","範囲内")))</f>
        <v/>
      </c>
      <c r="Q13" s="10">
        <f>IF($A13="","",IFERROR(INDEX(初期検討!$S:$S,MATCH($A13,初期検討!$A:$A,0)),""))</f>
        <v/>
      </c>
      <c r="R13" s="11">
        <f>IF($A13="","",IFERROR(INDEX(初期検討!$T:$T,MATCH($A13,初期検討!$A:$A,0)),""))</f>
        <v/>
      </c>
      <c r="S13" s="14" t="n"/>
      <c r="T13" s="12" t="n"/>
      <c r="U13" s="13" t="n"/>
      <c r="V13" s="13" t="n"/>
      <c r="W13" s="12" t="n"/>
      <c r="X13" s="14" t="n"/>
      <c r="Y13" s="12" t="n"/>
    </row>
    <row r="14">
      <c r="A14" s="14" t="n"/>
      <c r="B14" s="13" t="n"/>
      <c r="C14" s="14" t="n"/>
      <c r="D14" s="14" t="n"/>
      <c r="E14" s="14" t="n"/>
      <c r="F14" s="12" t="n"/>
      <c r="G14" s="14" t="n"/>
      <c r="H14" s="14" t="n"/>
      <c r="I14" s="15" t="n"/>
      <c r="J14" s="15" t="n"/>
      <c r="K14" s="9">
        <f>IF(OR($I14="",$J14="",$M14="",$N14="",$J14&lt;=0),"",($I14-($M14-$N14))/$J14)</f>
        <v/>
      </c>
      <c r="L14" s="15" t="n"/>
      <c r="M14" s="15" t="n"/>
      <c r="N14" s="15" t="n"/>
      <c r="O14" s="9">
        <f>IF(OR($I14="",$J14="",$M14="",$J14&lt;=0),"",($I14-$M14)/$J14)</f>
        <v/>
      </c>
      <c r="P14" s="10">
        <f>IF($L14="","",IF($L14&lt;300,"下限未満（対象外）",IF($L14&gt;3000,"上限超（対象外）","範囲内")))</f>
        <v/>
      </c>
      <c r="Q14" s="10">
        <f>IF($A14="","",IFERROR(INDEX(初期検討!$S:$S,MATCH($A14,初期検討!$A:$A,0)),""))</f>
        <v/>
      </c>
      <c r="R14" s="11">
        <f>IF($A14="","",IFERROR(INDEX(初期検討!$T:$T,MATCH($A14,初期検討!$A:$A,0)),""))</f>
        <v/>
      </c>
      <c r="S14" s="14" t="n"/>
      <c r="T14" s="12" t="n"/>
      <c r="U14" s="13" t="n"/>
      <c r="V14" s="13" t="n"/>
      <c r="W14" s="12" t="n"/>
      <c r="X14" s="14" t="n"/>
      <c r="Y14" s="12" t="n"/>
    </row>
    <row r="15">
      <c r="A15" s="14" t="n"/>
      <c r="B15" s="13" t="n"/>
      <c r="C15" s="14" t="n"/>
      <c r="D15" s="14" t="n"/>
      <c r="E15" s="14" t="n"/>
      <c r="F15" s="12" t="n"/>
      <c r="G15" s="14" t="n"/>
      <c r="H15" s="14" t="n"/>
      <c r="I15" s="15" t="n"/>
      <c r="J15" s="15" t="n"/>
      <c r="K15" s="9">
        <f>IF(OR($I15="",$J15="",$M15="",$N15="",$J15&lt;=0),"",($I15-($M15-$N15))/$J15)</f>
        <v/>
      </c>
      <c r="L15" s="15" t="n"/>
      <c r="M15" s="15" t="n"/>
      <c r="N15" s="15" t="n"/>
      <c r="O15" s="9">
        <f>IF(OR($I15="",$J15="",$M15="",$J15&lt;=0),"",($I15-$M15)/$J15)</f>
        <v/>
      </c>
      <c r="P15" s="10">
        <f>IF($L15="","",IF($L15&lt;300,"下限未満（対象外）",IF($L15&gt;3000,"上限超（対象外）","範囲内")))</f>
        <v/>
      </c>
      <c r="Q15" s="10">
        <f>IF($A15="","",IFERROR(INDEX(初期検討!$S:$S,MATCH($A15,初期検討!$A:$A,0)),""))</f>
        <v/>
      </c>
      <c r="R15" s="11">
        <f>IF($A15="","",IFERROR(INDEX(初期検討!$T:$T,MATCH($A15,初期検討!$A:$A,0)),""))</f>
        <v/>
      </c>
      <c r="S15" s="14" t="n"/>
      <c r="T15" s="12" t="n"/>
      <c r="U15" s="13" t="n"/>
      <c r="V15" s="13" t="n"/>
      <c r="W15" s="12" t="n"/>
      <c r="X15" s="14" t="n"/>
      <c r="Y15" s="12" t="n"/>
    </row>
    <row r="16">
      <c r="A16" s="14" t="n"/>
      <c r="B16" s="13" t="n"/>
      <c r="C16" s="14" t="n"/>
      <c r="D16" s="14" t="n"/>
      <c r="E16" s="14" t="n"/>
      <c r="F16" s="12" t="n"/>
      <c r="G16" s="14" t="n"/>
      <c r="H16" s="14" t="n"/>
      <c r="I16" s="15" t="n"/>
      <c r="J16" s="15" t="n"/>
      <c r="K16" s="9">
        <f>IF(OR($I16="",$J16="",$M16="",$N16="",$J16&lt;=0),"",($I16-($M16-$N16))/$J16)</f>
        <v/>
      </c>
      <c r="L16" s="15" t="n"/>
      <c r="M16" s="15" t="n"/>
      <c r="N16" s="15" t="n"/>
      <c r="O16" s="9">
        <f>IF(OR($I16="",$J16="",$M16="",$J16&lt;=0),"",($I16-$M16)/$J16)</f>
        <v/>
      </c>
      <c r="P16" s="10">
        <f>IF($L16="","",IF($L16&lt;300,"下限未満（対象外）",IF($L16&gt;3000,"上限超（対象外）","範囲内")))</f>
        <v/>
      </c>
      <c r="Q16" s="10">
        <f>IF($A16="","",IFERROR(INDEX(初期検討!$S:$S,MATCH($A16,初期検討!$A:$A,0)),""))</f>
        <v/>
      </c>
      <c r="R16" s="11">
        <f>IF($A16="","",IFERROR(INDEX(初期検討!$T:$T,MATCH($A16,初期検討!$A:$A,0)),""))</f>
        <v/>
      </c>
      <c r="S16" s="14" t="n"/>
      <c r="T16" s="12" t="n"/>
      <c r="U16" s="13" t="n"/>
      <c r="V16" s="13" t="n"/>
      <c r="W16" s="12" t="n"/>
      <c r="X16" s="14" t="n"/>
      <c r="Y16" s="12" t="n"/>
    </row>
    <row r="17">
      <c r="A17" s="14" t="n"/>
      <c r="B17" s="13" t="n"/>
      <c r="C17" s="14" t="n"/>
      <c r="D17" s="14" t="n"/>
      <c r="E17" s="14" t="n"/>
      <c r="F17" s="12" t="n"/>
      <c r="G17" s="14" t="n"/>
      <c r="H17" s="14" t="n"/>
      <c r="I17" s="15" t="n"/>
      <c r="J17" s="15" t="n"/>
      <c r="K17" s="9">
        <f>IF(OR($I17="",$J17="",$M17="",$N17="",$J17&lt;=0),"",($I17-($M17-$N17))/$J17)</f>
        <v/>
      </c>
      <c r="L17" s="15" t="n"/>
      <c r="M17" s="15" t="n"/>
      <c r="N17" s="15" t="n"/>
      <c r="O17" s="9">
        <f>IF(OR($I17="",$J17="",$M17="",$J17&lt;=0),"",($I17-$M17)/$J17)</f>
        <v/>
      </c>
      <c r="P17" s="10">
        <f>IF($L17="","",IF($L17&lt;300,"下限未満（対象外）",IF($L17&gt;3000,"上限超（対象外）","範囲内")))</f>
        <v/>
      </c>
      <c r="Q17" s="10">
        <f>IF($A17="","",IFERROR(INDEX(初期検討!$S:$S,MATCH($A17,初期検討!$A:$A,0)),""))</f>
        <v/>
      </c>
      <c r="R17" s="11">
        <f>IF($A17="","",IFERROR(INDEX(初期検討!$T:$T,MATCH($A17,初期検討!$A:$A,0)),""))</f>
        <v/>
      </c>
      <c r="S17" s="14" t="n"/>
      <c r="T17" s="12" t="n"/>
      <c r="U17" s="13" t="n"/>
      <c r="V17" s="13" t="n"/>
      <c r="W17" s="12" t="n"/>
      <c r="X17" s="14" t="n"/>
      <c r="Y17" s="12" t="n"/>
    </row>
    <row r="18">
      <c r="A18" s="14" t="n"/>
      <c r="B18" s="13" t="n"/>
      <c r="C18" s="14" t="n"/>
      <c r="D18" s="14" t="n"/>
      <c r="E18" s="14" t="n"/>
      <c r="F18" s="12" t="n"/>
      <c r="G18" s="14" t="n"/>
      <c r="H18" s="14" t="n"/>
      <c r="I18" s="15" t="n"/>
      <c r="J18" s="15" t="n"/>
      <c r="K18" s="9">
        <f>IF(OR($I18="",$J18="",$M18="",$N18="",$J18&lt;=0),"",($I18-($M18-$N18))/$J18)</f>
        <v/>
      </c>
      <c r="L18" s="15" t="n"/>
      <c r="M18" s="15" t="n"/>
      <c r="N18" s="15" t="n"/>
      <c r="O18" s="9">
        <f>IF(OR($I18="",$J18="",$M18="",$J18&lt;=0),"",($I18-$M18)/$J18)</f>
        <v/>
      </c>
      <c r="P18" s="10">
        <f>IF($L18="","",IF($L18&lt;300,"下限未満（対象外）",IF($L18&gt;3000,"上限超（対象外）","範囲内")))</f>
        <v/>
      </c>
      <c r="Q18" s="10">
        <f>IF($A18="","",IFERROR(INDEX(初期検討!$S:$S,MATCH($A18,初期検討!$A:$A,0)),""))</f>
        <v/>
      </c>
      <c r="R18" s="11">
        <f>IF($A18="","",IFERROR(INDEX(初期検討!$T:$T,MATCH($A18,初期検討!$A:$A,0)),""))</f>
        <v/>
      </c>
      <c r="S18" s="14" t="n"/>
      <c r="T18" s="12" t="n"/>
      <c r="U18" s="13" t="n"/>
      <c r="V18" s="13" t="n"/>
      <c r="W18" s="12" t="n"/>
      <c r="X18" s="14" t="n"/>
      <c r="Y18" s="12" t="n"/>
    </row>
    <row r="19">
      <c r="A19" s="14" t="n"/>
      <c r="B19" s="13" t="n"/>
      <c r="C19" s="14" t="n"/>
      <c r="D19" s="14" t="n"/>
      <c r="E19" s="14" t="n"/>
      <c r="F19" s="12" t="n"/>
      <c r="G19" s="14" t="n"/>
      <c r="H19" s="14" t="n"/>
      <c r="I19" s="15" t="n"/>
      <c r="J19" s="15" t="n"/>
      <c r="K19" s="9">
        <f>IF(OR($I19="",$J19="",$M19="",$N19="",$J19&lt;=0),"",($I19-($M19-$N19))/$J19)</f>
        <v/>
      </c>
      <c r="L19" s="15" t="n"/>
      <c r="M19" s="15" t="n"/>
      <c r="N19" s="15" t="n"/>
      <c r="O19" s="9">
        <f>IF(OR($I19="",$J19="",$M19="",$J19&lt;=0),"",($I19-$M19)/$J19)</f>
        <v/>
      </c>
      <c r="P19" s="10">
        <f>IF($L19="","",IF($L19&lt;300,"下限未満（対象外）",IF($L19&gt;3000,"上限超（対象外）","範囲内")))</f>
        <v/>
      </c>
      <c r="Q19" s="10">
        <f>IF($A19="","",IFERROR(INDEX(初期検討!$S:$S,MATCH($A19,初期検討!$A:$A,0)),""))</f>
        <v/>
      </c>
      <c r="R19" s="11">
        <f>IF($A19="","",IFERROR(INDEX(初期検討!$T:$T,MATCH($A19,初期検討!$A:$A,0)),""))</f>
        <v/>
      </c>
      <c r="S19" s="14" t="n"/>
      <c r="T19" s="12" t="n"/>
      <c r="U19" s="13" t="n"/>
      <c r="V19" s="13" t="n"/>
      <c r="W19" s="12" t="n"/>
      <c r="X19" s="14" t="n"/>
      <c r="Y19" s="12" t="n"/>
    </row>
    <row r="20">
      <c r="A20" s="14" t="n"/>
      <c r="B20" s="13" t="n"/>
      <c r="C20" s="14" t="n"/>
      <c r="D20" s="14" t="n"/>
      <c r="E20" s="14" t="n"/>
      <c r="F20" s="12" t="n"/>
      <c r="G20" s="14" t="n"/>
      <c r="H20" s="14" t="n"/>
      <c r="I20" s="15" t="n"/>
      <c r="J20" s="15" t="n"/>
      <c r="K20" s="9">
        <f>IF(OR($I20="",$J20="",$M20="",$N20="",$J20&lt;=0),"",($I20-($M20-$N20))/$J20)</f>
        <v/>
      </c>
      <c r="L20" s="15" t="n"/>
      <c r="M20" s="15" t="n"/>
      <c r="N20" s="15" t="n"/>
      <c r="O20" s="9">
        <f>IF(OR($I20="",$J20="",$M20="",$J20&lt;=0),"",($I20-$M20)/$J20)</f>
        <v/>
      </c>
      <c r="P20" s="10">
        <f>IF($L20="","",IF($L20&lt;300,"下限未満（対象外）",IF($L20&gt;3000,"上限超（対象外）","範囲内")))</f>
        <v/>
      </c>
      <c r="Q20" s="10">
        <f>IF($A20="","",IFERROR(INDEX(初期検討!$S:$S,MATCH($A20,初期検討!$A:$A,0)),""))</f>
        <v/>
      </c>
      <c r="R20" s="11">
        <f>IF($A20="","",IFERROR(INDEX(初期検討!$T:$T,MATCH($A20,初期検討!$A:$A,0)),""))</f>
        <v/>
      </c>
      <c r="S20" s="14" t="n"/>
      <c r="T20" s="12" t="n"/>
      <c r="U20" s="13" t="n"/>
      <c r="V20" s="13" t="n"/>
      <c r="W20" s="12" t="n"/>
      <c r="X20" s="14" t="n"/>
      <c r="Y20" s="12" t="n"/>
    </row>
    <row r="21">
      <c r="A21" s="14" t="n"/>
      <c r="B21" s="13" t="n"/>
      <c r="C21" s="14" t="n"/>
      <c r="D21" s="14" t="n"/>
      <c r="E21" s="14" t="n"/>
      <c r="F21" s="12" t="n"/>
      <c r="G21" s="14" t="n"/>
      <c r="H21" s="14" t="n"/>
      <c r="I21" s="15" t="n"/>
      <c r="J21" s="15" t="n"/>
      <c r="K21" s="9">
        <f>IF(OR($I21="",$J21="",$M21="",$N21="",$J21&lt;=0),"",($I21-($M21-$N21))/$J21)</f>
        <v/>
      </c>
      <c r="L21" s="15" t="n"/>
      <c r="M21" s="15" t="n"/>
      <c r="N21" s="15" t="n"/>
      <c r="O21" s="9">
        <f>IF(OR($I21="",$J21="",$M21="",$J21&lt;=0),"",($I21-$M21)/$J21)</f>
        <v/>
      </c>
      <c r="P21" s="10">
        <f>IF($L21="","",IF($L21&lt;300,"下限未満（対象外）",IF($L21&gt;3000,"上限超（対象外）","範囲内")))</f>
        <v/>
      </c>
      <c r="Q21" s="10">
        <f>IF($A21="","",IFERROR(INDEX(初期検討!$S:$S,MATCH($A21,初期検討!$A:$A,0)),""))</f>
        <v/>
      </c>
      <c r="R21" s="11">
        <f>IF($A21="","",IFERROR(INDEX(初期検討!$T:$T,MATCH($A21,初期検討!$A:$A,0)),""))</f>
        <v/>
      </c>
      <c r="S21" s="14" t="n"/>
      <c r="T21" s="12" t="n"/>
      <c r="U21" s="13" t="n"/>
      <c r="V21" s="13" t="n"/>
      <c r="W21" s="12" t="n"/>
      <c r="X21" s="14" t="n"/>
      <c r="Y21" s="12" t="n"/>
    </row>
    <row r="22">
      <c r="A22" s="14" t="n"/>
      <c r="B22" s="13" t="n"/>
      <c r="C22" s="14" t="n"/>
      <c r="D22" s="14" t="n"/>
      <c r="E22" s="14" t="n"/>
      <c r="F22" s="12" t="n"/>
      <c r="G22" s="14" t="n"/>
      <c r="H22" s="14" t="n"/>
      <c r="I22" s="15" t="n"/>
      <c r="J22" s="15" t="n"/>
      <c r="K22" s="9">
        <f>IF(OR($I22="",$J22="",$M22="",$N22="",$J22&lt;=0),"",($I22-($M22-$N22))/$J22)</f>
        <v/>
      </c>
      <c r="L22" s="15" t="n"/>
      <c r="M22" s="15" t="n"/>
      <c r="N22" s="15" t="n"/>
      <c r="O22" s="9">
        <f>IF(OR($I22="",$J22="",$M22="",$J22&lt;=0),"",($I22-$M22)/$J22)</f>
        <v/>
      </c>
      <c r="P22" s="10">
        <f>IF($L22="","",IF($L22&lt;300,"下限未満（対象外）",IF($L22&gt;3000,"上限超（対象外）","範囲内")))</f>
        <v/>
      </c>
      <c r="Q22" s="10">
        <f>IF($A22="","",IFERROR(INDEX(初期検討!$S:$S,MATCH($A22,初期検討!$A:$A,0)),""))</f>
        <v/>
      </c>
      <c r="R22" s="11">
        <f>IF($A22="","",IFERROR(INDEX(初期検討!$T:$T,MATCH($A22,初期検討!$A:$A,0)),""))</f>
        <v/>
      </c>
      <c r="S22" s="14" t="n"/>
      <c r="T22" s="12" t="n"/>
      <c r="U22" s="13" t="n"/>
      <c r="V22" s="13" t="n"/>
      <c r="W22" s="12" t="n"/>
      <c r="X22" s="14" t="n"/>
      <c r="Y22" s="12" t="n"/>
    </row>
    <row r="23">
      <c r="A23" s="14" t="n"/>
      <c r="B23" s="13" t="n"/>
      <c r="C23" s="14" t="n"/>
      <c r="D23" s="14" t="n"/>
      <c r="E23" s="14" t="n"/>
      <c r="F23" s="12" t="n"/>
      <c r="G23" s="14" t="n"/>
      <c r="H23" s="14" t="n"/>
      <c r="I23" s="15" t="n"/>
      <c r="J23" s="15" t="n"/>
      <c r="K23" s="9">
        <f>IF(OR($I23="",$J23="",$M23="",$N23="",$J23&lt;=0),"",($I23-($M23-$N23))/$J23)</f>
        <v/>
      </c>
      <c r="L23" s="15" t="n"/>
      <c r="M23" s="15" t="n"/>
      <c r="N23" s="15" t="n"/>
      <c r="O23" s="9">
        <f>IF(OR($I23="",$J23="",$M23="",$J23&lt;=0),"",($I23-$M23)/$J23)</f>
        <v/>
      </c>
      <c r="P23" s="10">
        <f>IF($L23="","",IF($L23&lt;300,"下限未満（対象外）",IF($L23&gt;3000,"上限超（対象外）","範囲内")))</f>
        <v/>
      </c>
      <c r="Q23" s="10">
        <f>IF($A23="","",IFERROR(INDEX(初期検討!$S:$S,MATCH($A23,初期検討!$A:$A,0)),""))</f>
        <v/>
      </c>
      <c r="R23" s="11">
        <f>IF($A23="","",IFERROR(INDEX(初期検討!$T:$T,MATCH($A23,初期検討!$A:$A,0)),""))</f>
        <v/>
      </c>
      <c r="S23" s="14" t="n"/>
      <c r="T23" s="12" t="n"/>
      <c r="U23" s="13" t="n"/>
      <c r="V23" s="13" t="n"/>
      <c r="W23" s="12" t="n"/>
      <c r="X23" s="14" t="n"/>
      <c r="Y23" s="12" t="n"/>
    </row>
    <row r="24">
      <c r="A24" s="14" t="n"/>
      <c r="B24" s="13" t="n"/>
      <c r="C24" s="14" t="n"/>
      <c r="D24" s="14" t="n"/>
      <c r="E24" s="14" t="n"/>
      <c r="F24" s="12" t="n"/>
      <c r="G24" s="14" t="n"/>
      <c r="H24" s="14" t="n"/>
      <c r="I24" s="15" t="n"/>
      <c r="J24" s="15" t="n"/>
      <c r="K24" s="9">
        <f>IF(OR($I24="",$J24="",$M24="",$N24="",$J24&lt;=0),"",($I24-($M24-$N24))/$J24)</f>
        <v/>
      </c>
      <c r="L24" s="15" t="n"/>
      <c r="M24" s="15" t="n"/>
      <c r="N24" s="15" t="n"/>
      <c r="O24" s="9">
        <f>IF(OR($I24="",$J24="",$M24="",$J24&lt;=0),"",($I24-$M24)/$J24)</f>
        <v/>
      </c>
      <c r="P24" s="10">
        <f>IF($L24="","",IF($L24&lt;300,"下限未満（対象外）",IF($L24&gt;3000,"上限超（対象外）","範囲内")))</f>
        <v/>
      </c>
      <c r="Q24" s="10">
        <f>IF($A24="","",IFERROR(INDEX(初期検討!$S:$S,MATCH($A24,初期検討!$A:$A,0)),""))</f>
        <v/>
      </c>
      <c r="R24" s="11">
        <f>IF($A24="","",IFERROR(INDEX(初期検討!$T:$T,MATCH($A24,初期検討!$A:$A,0)),""))</f>
        <v/>
      </c>
      <c r="S24" s="14" t="n"/>
      <c r="T24" s="12" t="n"/>
      <c r="U24" s="13" t="n"/>
      <c r="V24" s="13" t="n"/>
      <c r="W24" s="12" t="n"/>
      <c r="X24" s="14" t="n"/>
      <c r="Y24" s="12" t="n"/>
    </row>
    <row r="25">
      <c r="A25" s="14" t="n"/>
      <c r="B25" s="13" t="n"/>
      <c r="C25" s="14" t="n"/>
      <c r="D25" s="14" t="n"/>
      <c r="E25" s="14" t="n"/>
      <c r="F25" s="12" t="n"/>
      <c r="G25" s="14" t="n"/>
      <c r="H25" s="14" t="n"/>
      <c r="I25" s="15" t="n"/>
      <c r="J25" s="15" t="n"/>
      <c r="K25" s="9">
        <f>IF(OR($I25="",$J25="",$M25="",$N25="",$J25&lt;=0),"",($I25-($M25-$N25))/$J25)</f>
        <v/>
      </c>
      <c r="L25" s="15" t="n"/>
      <c r="M25" s="15" t="n"/>
      <c r="N25" s="15" t="n"/>
      <c r="O25" s="9">
        <f>IF(OR($I25="",$J25="",$M25="",$J25&lt;=0),"",($I25-$M25)/$J25)</f>
        <v/>
      </c>
      <c r="P25" s="10">
        <f>IF($L25="","",IF($L25&lt;300,"下限未満（対象外）",IF($L25&gt;3000,"上限超（対象外）","範囲内")))</f>
        <v/>
      </c>
      <c r="Q25" s="10">
        <f>IF($A25="","",IFERROR(INDEX(初期検討!$S:$S,MATCH($A25,初期検討!$A:$A,0)),""))</f>
        <v/>
      </c>
      <c r="R25" s="11">
        <f>IF($A25="","",IFERROR(INDEX(初期検討!$T:$T,MATCH($A25,初期検討!$A:$A,0)),""))</f>
        <v/>
      </c>
      <c r="S25" s="14" t="n"/>
      <c r="T25" s="12" t="n"/>
      <c r="U25" s="13" t="n"/>
      <c r="V25" s="13" t="n"/>
      <c r="W25" s="12" t="n"/>
      <c r="X25" s="14" t="n"/>
      <c r="Y25" s="12" t="n"/>
    </row>
    <row r="26">
      <c r="A26" s="14" t="n"/>
      <c r="B26" s="13" t="n"/>
      <c r="C26" s="14" t="n"/>
      <c r="D26" s="14" t="n"/>
      <c r="E26" s="14" t="n"/>
      <c r="F26" s="12" t="n"/>
      <c r="G26" s="14" t="n"/>
      <c r="H26" s="14" t="n"/>
      <c r="I26" s="15" t="n"/>
      <c r="J26" s="15" t="n"/>
      <c r="K26" s="9">
        <f>IF(OR($I26="",$J26="",$M26="",$N26="",$J26&lt;=0),"",($I26-($M26-$N26))/$J26)</f>
        <v/>
      </c>
      <c r="L26" s="15" t="n"/>
      <c r="M26" s="15" t="n"/>
      <c r="N26" s="15" t="n"/>
      <c r="O26" s="9">
        <f>IF(OR($I26="",$J26="",$M26="",$J26&lt;=0),"",($I26-$M26)/$J26)</f>
        <v/>
      </c>
      <c r="P26" s="10">
        <f>IF($L26="","",IF($L26&lt;300,"下限未満（対象外）",IF($L26&gt;3000,"上限超（対象外）","範囲内")))</f>
        <v/>
      </c>
      <c r="Q26" s="10">
        <f>IF($A26="","",IFERROR(INDEX(初期検討!$S:$S,MATCH($A26,初期検討!$A:$A,0)),""))</f>
        <v/>
      </c>
      <c r="R26" s="11">
        <f>IF($A26="","",IFERROR(INDEX(初期検討!$T:$T,MATCH($A26,初期検討!$A:$A,0)),""))</f>
        <v/>
      </c>
      <c r="S26" s="14" t="n"/>
      <c r="T26" s="12" t="n"/>
      <c r="U26" s="13" t="n"/>
      <c r="V26" s="13" t="n"/>
      <c r="W26" s="12" t="n"/>
      <c r="X26" s="14" t="n"/>
      <c r="Y26" s="12" t="n"/>
    </row>
    <row r="27">
      <c r="A27" s="14" t="n"/>
      <c r="B27" s="13" t="n"/>
      <c r="C27" s="14" t="n"/>
      <c r="D27" s="14" t="n"/>
      <c r="E27" s="14" t="n"/>
      <c r="F27" s="12" t="n"/>
      <c r="G27" s="14" t="n"/>
      <c r="H27" s="14" t="n"/>
      <c r="I27" s="15" t="n"/>
      <c r="J27" s="15" t="n"/>
      <c r="K27" s="9">
        <f>IF(OR($I27="",$J27="",$M27="",$N27="",$J27&lt;=0),"",($I27-($M27-$N27))/$J27)</f>
        <v/>
      </c>
      <c r="L27" s="15" t="n"/>
      <c r="M27" s="15" t="n"/>
      <c r="N27" s="15" t="n"/>
      <c r="O27" s="9">
        <f>IF(OR($I27="",$J27="",$M27="",$J27&lt;=0),"",($I27-$M27)/$J27)</f>
        <v/>
      </c>
      <c r="P27" s="10">
        <f>IF($L27="","",IF($L27&lt;300,"下限未満（対象外）",IF($L27&gt;3000,"上限超（対象外）","範囲内")))</f>
        <v/>
      </c>
      <c r="Q27" s="10">
        <f>IF($A27="","",IFERROR(INDEX(初期検討!$S:$S,MATCH($A27,初期検討!$A:$A,0)),""))</f>
        <v/>
      </c>
      <c r="R27" s="11">
        <f>IF($A27="","",IFERROR(INDEX(初期検討!$T:$T,MATCH($A27,初期検討!$A:$A,0)),""))</f>
        <v/>
      </c>
      <c r="S27" s="14" t="n"/>
      <c r="T27" s="12" t="n"/>
      <c r="U27" s="13" t="n"/>
      <c r="V27" s="13" t="n"/>
      <c r="W27" s="12" t="n"/>
      <c r="X27" s="14" t="n"/>
      <c r="Y27" s="12" t="n"/>
    </row>
    <row r="28">
      <c r="A28" s="14" t="n"/>
      <c r="B28" s="13" t="n"/>
      <c r="C28" s="14" t="n"/>
      <c r="D28" s="14" t="n"/>
      <c r="E28" s="14" t="n"/>
      <c r="F28" s="12" t="n"/>
      <c r="G28" s="14" t="n"/>
      <c r="H28" s="14" t="n"/>
      <c r="I28" s="15" t="n"/>
      <c r="J28" s="15" t="n"/>
      <c r="K28" s="9">
        <f>IF(OR($I28="",$J28="",$M28="",$N28="",$J28&lt;=0),"",($I28-($M28-$N28))/$J28)</f>
        <v/>
      </c>
      <c r="L28" s="15" t="n"/>
      <c r="M28" s="15" t="n"/>
      <c r="N28" s="15" t="n"/>
      <c r="O28" s="9">
        <f>IF(OR($I28="",$J28="",$M28="",$J28&lt;=0),"",($I28-$M28)/$J28)</f>
        <v/>
      </c>
      <c r="P28" s="10">
        <f>IF($L28="","",IF($L28&lt;300,"下限未満（対象外）",IF($L28&gt;3000,"上限超（対象外）","範囲内")))</f>
        <v/>
      </c>
      <c r="Q28" s="10">
        <f>IF($A28="","",IFERROR(INDEX(初期検討!$S:$S,MATCH($A28,初期検討!$A:$A,0)),""))</f>
        <v/>
      </c>
      <c r="R28" s="11">
        <f>IF($A28="","",IFERROR(INDEX(初期検討!$T:$T,MATCH($A28,初期検討!$A:$A,0)),""))</f>
        <v/>
      </c>
      <c r="S28" s="14" t="n"/>
      <c r="T28" s="12" t="n"/>
      <c r="U28" s="13" t="n"/>
      <c r="V28" s="13" t="n"/>
      <c r="W28" s="12" t="n"/>
      <c r="X28" s="14" t="n"/>
      <c r="Y28" s="12" t="n"/>
    </row>
    <row r="29">
      <c r="A29" s="14" t="n"/>
      <c r="B29" s="13" t="n"/>
      <c r="C29" s="14" t="n"/>
      <c r="D29" s="14" t="n"/>
      <c r="E29" s="14" t="n"/>
      <c r="F29" s="12" t="n"/>
      <c r="G29" s="14" t="n"/>
      <c r="H29" s="14" t="n"/>
      <c r="I29" s="15" t="n"/>
      <c r="J29" s="15" t="n"/>
      <c r="K29" s="9">
        <f>IF(OR($I29="",$J29="",$M29="",$N29="",$J29&lt;=0),"",($I29-($M29-$N29))/$J29)</f>
        <v/>
      </c>
      <c r="L29" s="15" t="n"/>
      <c r="M29" s="15" t="n"/>
      <c r="N29" s="15" t="n"/>
      <c r="O29" s="9">
        <f>IF(OR($I29="",$J29="",$M29="",$J29&lt;=0),"",($I29-$M29)/$J29)</f>
        <v/>
      </c>
      <c r="P29" s="10">
        <f>IF($L29="","",IF($L29&lt;300,"下限未満（対象外）",IF($L29&gt;3000,"上限超（対象外）","範囲内")))</f>
        <v/>
      </c>
      <c r="Q29" s="10">
        <f>IF($A29="","",IFERROR(INDEX(初期検討!$S:$S,MATCH($A29,初期検討!$A:$A,0)),""))</f>
        <v/>
      </c>
      <c r="R29" s="11">
        <f>IF($A29="","",IFERROR(INDEX(初期検討!$T:$T,MATCH($A29,初期検討!$A:$A,0)),""))</f>
        <v/>
      </c>
      <c r="S29" s="14" t="n"/>
      <c r="T29" s="12" t="n"/>
      <c r="U29" s="13" t="n"/>
      <c r="V29" s="13" t="n"/>
      <c r="W29" s="12" t="n"/>
      <c r="X29" s="14" t="n"/>
      <c r="Y29" s="12" t="n"/>
    </row>
    <row r="30">
      <c r="A30" s="14" t="n"/>
      <c r="B30" s="13" t="n"/>
      <c r="C30" s="14" t="n"/>
      <c r="D30" s="14" t="n"/>
      <c r="E30" s="14" t="n"/>
      <c r="F30" s="12" t="n"/>
      <c r="G30" s="14" t="n"/>
      <c r="H30" s="14" t="n"/>
      <c r="I30" s="15" t="n"/>
      <c r="J30" s="15" t="n"/>
      <c r="K30" s="9">
        <f>IF(OR($I30="",$J30="",$M30="",$N30="",$J30&lt;=0),"",($I30-($M30-$N30))/$J30)</f>
        <v/>
      </c>
      <c r="L30" s="15" t="n"/>
      <c r="M30" s="15" t="n"/>
      <c r="N30" s="15" t="n"/>
      <c r="O30" s="9">
        <f>IF(OR($I30="",$J30="",$M30="",$J30&lt;=0),"",($I30-$M30)/$J30)</f>
        <v/>
      </c>
      <c r="P30" s="10">
        <f>IF($L30="","",IF($L30&lt;300,"下限未満（対象外）",IF($L30&gt;3000,"上限超（対象外）","範囲内")))</f>
        <v/>
      </c>
      <c r="Q30" s="10">
        <f>IF($A30="","",IFERROR(INDEX(初期検討!$S:$S,MATCH($A30,初期検討!$A:$A,0)),""))</f>
        <v/>
      </c>
      <c r="R30" s="11">
        <f>IF($A30="","",IFERROR(INDEX(初期検討!$T:$T,MATCH($A30,初期検討!$A:$A,0)),""))</f>
        <v/>
      </c>
      <c r="S30" s="14" t="n"/>
      <c r="T30" s="12" t="n"/>
      <c r="U30" s="13" t="n"/>
      <c r="V30" s="13" t="n"/>
      <c r="W30" s="12" t="n"/>
      <c r="X30" s="14" t="n"/>
      <c r="Y30" s="12" t="n"/>
    </row>
    <row r="31">
      <c r="A31" s="14" t="n"/>
      <c r="B31" s="13" t="n"/>
      <c r="C31" s="14" t="n"/>
      <c r="D31" s="14" t="n"/>
      <c r="E31" s="14" t="n"/>
      <c r="F31" s="12" t="n"/>
      <c r="G31" s="14" t="n"/>
      <c r="H31" s="14" t="n"/>
      <c r="I31" s="15" t="n"/>
      <c r="J31" s="15" t="n"/>
      <c r="K31" s="9">
        <f>IF(OR($I31="",$J31="",$M31="",$N31="",$J31&lt;=0),"",($I31-($M31-$N31))/$J31)</f>
        <v/>
      </c>
      <c r="L31" s="15" t="n"/>
      <c r="M31" s="15" t="n"/>
      <c r="N31" s="15" t="n"/>
      <c r="O31" s="9">
        <f>IF(OR($I31="",$J31="",$M31="",$J31&lt;=0),"",($I31-$M31)/$J31)</f>
        <v/>
      </c>
      <c r="P31" s="10">
        <f>IF($L31="","",IF($L31&lt;300,"下限未満（対象外）",IF($L31&gt;3000,"上限超（対象外）","範囲内")))</f>
        <v/>
      </c>
      <c r="Q31" s="10">
        <f>IF($A31="","",IFERROR(INDEX(初期検討!$S:$S,MATCH($A31,初期検討!$A:$A,0)),""))</f>
        <v/>
      </c>
      <c r="R31" s="11">
        <f>IF($A31="","",IFERROR(INDEX(初期検討!$T:$T,MATCH($A31,初期検討!$A:$A,0)),""))</f>
        <v/>
      </c>
      <c r="S31" s="14" t="n"/>
      <c r="T31" s="12" t="n"/>
      <c r="U31" s="13" t="n"/>
      <c r="V31" s="13" t="n"/>
      <c r="W31" s="12" t="n"/>
      <c r="X31" s="14" t="n"/>
      <c r="Y31" s="12" t="n"/>
    </row>
    <row r="32">
      <c r="A32" s="14" t="n"/>
      <c r="B32" s="13" t="n"/>
      <c r="C32" s="14" t="n"/>
      <c r="D32" s="14" t="n"/>
      <c r="E32" s="14" t="n"/>
      <c r="F32" s="12" t="n"/>
      <c r="G32" s="14" t="n"/>
      <c r="H32" s="14" t="n"/>
      <c r="I32" s="15" t="n"/>
      <c r="J32" s="15" t="n"/>
      <c r="K32" s="9">
        <f>IF(OR($I32="",$J32="",$M32="",$N32="",$J32&lt;=0),"",($I32-($M32-$N32))/$J32)</f>
        <v/>
      </c>
      <c r="L32" s="15" t="n"/>
      <c r="M32" s="15" t="n"/>
      <c r="N32" s="15" t="n"/>
      <c r="O32" s="9">
        <f>IF(OR($I32="",$J32="",$M32="",$J32&lt;=0),"",($I32-$M32)/$J32)</f>
        <v/>
      </c>
      <c r="P32" s="10">
        <f>IF($L32="","",IF($L32&lt;300,"下限未満（対象外）",IF($L32&gt;3000,"上限超（対象外）","範囲内")))</f>
        <v/>
      </c>
      <c r="Q32" s="10">
        <f>IF($A32="","",IFERROR(INDEX(初期検討!$S:$S,MATCH($A32,初期検討!$A:$A,0)),""))</f>
        <v/>
      </c>
      <c r="R32" s="11">
        <f>IF($A32="","",IFERROR(INDEX(初期検討!$T:$T,MATCH($A32,初期検討!$A:$A,0)),""))</f>
        <v/>
      </c>
      <c r="S32" s="14" t="n"/>
      <c r="T32" s="12" t="n"/>
      <c r="U32" s="13" t="n"/>
      <c r="V32" s="13" t="n"/>
      <c r="W32" s="12" t="n"/>
      <c r="X32" s="14" t="n"/>
      <c r="Y32" s="12" t="n"/>
    </row>
    <row r="33">
      <c r="A33" s="14" t="n"/>
      <c r="B33" s="13" t="n"/>
      <c r="C33" s="14" t="n"/>
      <c r="D33" s="14" t="n"/>
      <c r="E33" s="14" t="n"/>
      <c r="F33" s="12" t="n"/>
      <c r="G33" s="14" t="n"/>
      <c r="H33" s="14" t="n"/>
      <c r="I33" s="15" t="n"/>
      <c r="J33" s="15" t="n"/>
      <c r="K33" s="9">
        <f>IF(OR($I33="",$J33="",$M33="",$N33="",$J33&lt;=0),"",($I33-($M33-$N33))/$J33)</f>
        <v/>
      </c>
      <c r="L33" s="15" t="n"/>
      <c r="M33" s="15" t="n"/>
      <c r="N33" s="15" t="n"/>
      <c r="O33" s="9">
        <f>IF(OR($I33="",$J33="",$M33="",$J33&lt;=0),"",($I33-$M33)/$J33)</f>
        <v/>
      </c>
      <c r="P33" s="10">
        <f>IF($L33="","",IF($L33&lt;300,"下限未満（対象外）",IF($L33&gt;3000,"上限超（対象外）","範囲内")))</f>
        <v/>
      </c>
      <c r="Q33" s="10">
        <f>IF($A33="","",IFERROR(INDEX(初期検討!$S:$S,MATCH($A33,初期検討!$A:$A,0)),""))</f>
        <v/>
      </c>
      <c r="R33" s="11">
        <f>IF($A33="","",IFERROR(INDEX(初期検討!$T:$T,MATCH($A33,初期検討!$A:$A,0)),""))</f>
        <v/>
      </c>
      <c r="S33" s="14" t="n"/>
      <c r="T33" s="12" t="n"/>
      <c r="U33" s="13" t="n"/>
      <c r="V33" s="13" t="n"/>
      <c r="W33" s="12" t="n"/>
      <c r="X33" s="14" t="n"/>
      <c r="Y33" s="12" t="n"/>
    </row>
    <row r="34">
      <c r="A34" s="14" t="n"/>
      <c r="B34" s="13" t="n"/>
      <c r="C34" s="14" t="n"/>
      <c r="D34" s="14" t="n"/>
      <c r="E34" s="14" t="n"/>
      <c r="F34" s="12" t="n"/>
      <c r="G34" s="14" t="n"/>
      <c r="H34" s="14" t="n"/>
      <c r="I34" s="15" t="n"/>
      <c r="J34" s="15" t="n"/>
      <c r="K34" s="9">
        <f>IF(OR($I34="",$J34="",$M34="",$N34="",$J34&lt;=0),"",($I34-($M34-$N34))/$J34)</f>
        <v/>
      </c>
      <c r="L34" s="15" t="n"/>
      <c r="M34" s="15" t="n"/>
      <c r="N34" s="15" t="n"/>
      <c r="O34" s="9">
        <f>IF(OR($I34="",$J34="",$M34="",$J34&lt;=0),"",($I34-$M34)/$J34)</f>
        <v/>
      </c>
      <c r="P34" s="10">
        <f>IF($L34="","",IF($L34&lt;300,"下限未満（対象外）",IF($L34&gt;3000,"上限超（対象外）","範囲内")))</f>
        <v/>
      </c>
      <c r="Q34" s="10">
        <f>IF($A34="","",IFERROR(INDEX(初期検討!$S:$S,MATCH($A34,初期検討!$A:$A,0)),""))</f>
        <v/>
      </c>
      <c r="R34" s="11">
        <f>IF($A34="","",IFERROR(INDEX(初期検討!$T:$T,MATCH($A34,初期検討!$A:$A,0)),""))</f>
        <v/>
      </c>
      <c r="S34" s="14" t="n"/>
      <c r="T34" s="12" t="n"/>
      <c r="U34" s="13" t="n"/>
      <c r="V34" s="13" t="n"/>
      <c r="W34" s="12" t="n"/>
      <c r="X34" s="14" t="n"/>
      <c r="Y34" s="12" t="n"/>
    </row>
    <row r="35">
      <c r="A35" s="14" t="n"/>
      <c r="B35" s="13" t="n"/>
      <c r="C35" s="14" t="n"/>
      <c r="D35" s="14" t="n"/>
      <c r="E35" s="14" t="n"/>
      <c r="F35" s="12" t="n"/>
      <c r="G35" s="14" t="n"/>
      <c r="H35" s="14" t="n"/>
      <c r="I35" s="15" t="n"/>
      <c r="J35" s="15" t="n"/>
      <c r="K35" s="9">
        <f>IF(OR($I35="",$J35="",$M35="",$N35="",$J35&lt;=0),"",($I35-($M35-$N35))/$J35)</f>
        <v/>
      </c>
      <c r="L35" s="15" t="n"/>
      <c r="M35" s="15" t="n"/>
      <c r="N35" s="15" t="n"/>
      <c r="O35" s="9">
        <f>IF(OR($I35="",$J35="",$M35="",$J35&lt;=0),"",($I35-$M35)/$J35)</f>
        <v/>
      </c>
      <c r="P35" s="10">
        <f>IF($L35="","",IF($L35&lt;300,"下限未満（対象外）",IF($L35&gt;3000,"上限超（対象外）","範囲内")))</f>
        <v/>
      </c>
      <c r="Q35" s="10">
        <f>IF($A35="","",IFERROR(INDEX(初期検討!$S:$S,MATCH($A35,初期検討!$A:$A,0)),""))</f>
        <v/>
      </c>
      <c r="R35" s="11">
        <f>IF($A35="","",IFERROR(INDEX(初期検討!$T:$T,MATCH($A35,初期検討!$A:$A,0)),""))</f>
        <v/>
      </c>
      <c r="S35" s="14" t="n"/>
      <c r="T35" s="12" t="n"/>
      <c r="U35" s="13" t="n"/>
      <c r="V35" s="13" t="n"/>
      <c r="W35" s="12" t="n"/>
      <c r="X35" s="14" t="n"/>
      <c r="Y35" s="12" t="n"/>
    </row>
    <row r="36">
      <c r="A36" s="14" t="n"/>
      <c r="B36" s="13" t="n"/>
      <c r="C36" s="14" t="n"/>
      <c r="D36" s="14" t="n"/>
      <c r="E36" s="14" t="n"/>
      <c r="F36" s="12" t="n"/>
      <c r="G36" s="14" t="n"/>
      <c r="H36" s="14" t="n"/>
      <c r="I36" s="15" t="n"/>
      <c r="J36" s="15" t="n"/>
      <c r="K36" s="9">
        <f>IF(OR($I36="",$J36="",$M36="",$N36="",$J36&lt;=0),"",($I36-($M36-$N36))/$J36)</f>
        <v/>
      </c>
      <c r="L36" s="15" t="n"/>
      <c r="M36" s="15" t="n"/>
      <c r="N36" s="15" t="n"/>
      <c r="O36" s="9">
        <f>IF(OR($I36="",$J36="",$M36="",$J36&lt;=0),"",($I36-$M36)/$J36)</f>
        <v/>
      </c>
      <c r="P36" s="10">
        <f>IF($L36="","",IF($L36&lt;300,"下限未満（対象外）",IF($L36&gt;3000,"上限超（対象外）","範囲内")))</f>
        <v/>
      </c>
      <c r="Q36" s="10">
        <f>IF($A36="","",IFERROR(INDEX(初期検討!$S:$S,MATCH($A36,初期検討!$A:$A,0)),""))</f>
        <v/>
      </c>
      <c r="R36" s="11">
        <f>IF($A36="","",IFERROR(INDEX(初期検討!$T:$T,MATCH($A36,初期検討!$A:$A,0)),""))</f>
        <v/>
      </c>
      <c r="S36" s="14" t="n"/>
      <c r="T36" s="12" t="n"/>
      <c r="U36" s="13" t="n"/>
      <c r="V36" s="13" t="n"/>
      <c r="W36" s="12" t="n"/>
      <c r="X36" s="14" t="n"/>
      <c r="Y36" s="12" t="n"/>
    </row>
    <row r="37">
      <c r="A37" s="14" t="n"/>
      <c r="B37" s="13" t="n"/>
      <c r="C37" s="14" t="n"/>
      <c r="D37" s="14" t="n"/>
      <c r="E37" s="14" t="n"/>
      <c r="F37" s="12" t="n"/>
      <c r="G37" s="14" t="n"/>
      <c r="H37" s="14" t="n"/>
      <c r="I37" s="15" t="n"/>
      <c r="J37" s="15" t="n"/>
      <c r="K37" s="9">
        <f>IF(OR($I37="",$J37="",$M37="",$N37="",$J37&lt;=0),"",($I37-($M37-$N37))/$J37)</f>
        <v/>
      </c>
      <c r="L37" s="15" t="n"/>
      <c r="M37" s="15" t="n"/>
      <c r="N37" s="15" t="n"/>
      <c r="O37" s="9">
        <f>IF(OR($I37="",$J37="",$M37="",$J37&lt;=0),"",($I37-$M37)/$J37)</f>
        <v/>
      </c>
      <c r="P37" s="10">
        <f>IF($L37="","",IF($L37&lt;300,"下限未満（対象外）",IF($L37&gt;3000,"上限超（対象外）","範囲内")))</f>
        <v/>
      </c>
      <c r="Q37" s="10">
        <f>IF($A37="","",IFERROR(INDEX(初期検討!$S:$S,MATCH($A37,初期検討!$A:$A,0)),""))</f>
        <v/>
      </c>
      <c r="R37" s="11">
        <f>IF($A37="","",IFERROR(INDEX(初期検討!$T:$T,MATCH($A37,初期検討!$A:$A,0)),""))</f>
        <v/>
      </c>
      <c r="S37" s="14" t="n"/>
      <c r="T37" s="12" t="n"/>
      <c r="U37" s="13" t="n"/>
      <c r="V37" s="13" t="n"/>
      <c r="W37" s="12" t="n"/>
      <c r="X37" s="14" t="n"/>
      <c r="Y37" s="12" t="n"/>
    </row>
    <row r="38">
      <c r="A38" s="14" t="n"/>
      <c r="B38" s="13" t="n"/>
      <c r="C38" s="14" t="n"/>
      <c r="D38" s="14" t="n"/>
      <c r="E38" s="14" t="n"/>
      <c r="F38" s="12" t="n"/>
      <c r="G38" s="14" t="n"/>
      <c r="H38" s="14" t="n"/>
      <c r="I38" s="15" t="n"/>
      <c r="J38" s="15" t="n"/>
      <c r="K38" s="9">
        <f>IF(OR($I38="",$J38="",$M38="",$N38="",$J38&lt;=0),"",($I38-($M38-$N38))/$J38)</f>
        <v/>
      </c>
      <c r="L38" s="15" t="n"/>
      <c r="M38" s="15" t="n"/>
      <c r="N38" s="15" t="n"/>
      <c r="O38" s="9">
        <f>IF(OR($I38="",$J38="",$M38="",$J38&lt;=0),"",($I38-$M38)/$J38)</f>
        <v/>
      </c>
      <c r="P38" s="10">
        <f>IF($L38="","",IF($L38&lt;300,"下限未満（対象外）",IF($L38&gt;3000,"上限超（対象外）","範囲内")))</f>
        <v/>
      </c>
      <c r="Q38" s="10">
        <f>IF($A38="","",IFERROR(INDEX(初期検討!$S:$S,MATCH($A38,初期検討!$A:$A,0)),""))</f>
        <v/>
      </c>
      <c r="R38" s="11">
        <f>IF($A38="","",IFERROR(INDEX(初期検討!$T:$T,MATCH($A38,初期検討!$A:$A,0)),""))</f>
        <v/>
      </c>
      <c r="S38" s="14" t="n"/>
      <c r="T38" s="12" t="n"/>
      <c r="U38" s="13" t="n"/>
      <c r="V38" s="13" t="n"/>
      <c r="W38" s="12" t="n"/>
      <c r="X38" s="14" t="n"/>
      <c r="Y38" s="12" t="n"/>
    </row>
    <row r="39">
      <c r="A39" s="14" t="n"/>
      <c r="B39" s="13" t="n"/>
      <c r="C39" s="14" t="n"/>
      <c r="D39" s="14" t="n"/>
      <c r="E39" s="14" t="n"/>
      <c r="F39" s="12" t="n"/>
      <c r="G39" s="14" t="n"/>
      <c r="H39" s="14" t="n"/>
      <c r="I39" s="15" t="n"/>
      <c r="J39" s="15" t="n"/>
      <c r="K39" s="9">
        <f>IF(OR($I39="",$J39="",$M39="",$N39="",$J39&lt;=0),"",($I39-($M39-$N39))/$J39)</f>
        <v/>
      </c>
      <c r="L39" s="15" t="n"/>
      <c r="M39" s="15" t="n"/>
      <c r="N39" s="15" t="n"/>
      <c r="O39" s="9">
        <f>IF(OR($I39="",$J39="",$M39="",$J39&lt;=0),"",($I39-$M39)/$J39)</f>
        <v/>
      </c>
      <c r="P39" s="10">
        <f>IF($L39="","",IF($L39&lt;300,"下限未満（対象外）",IF($L39&gt;3000,"上限超（対象外）","範囲内")))</f>
        <v/>
      </c>
      <c r="Q39" s="10">
        <f>IF($A39="","",IFERROR(INDEX(初期検討!$S:$S,MATCH($A39,初期検討!$A:$A,0)),""))</f>
        <v/>
      </c>
      <c r="R39" s="11">
        <f>IF($A39="","",IFERROR(INDEX(初期検討!$T:$T,MATCH($A39,初期検討!$A:$A,0)),""))</f>
        <v/>
      </c>
      <c r="S39" s="14" t="n"/>
      <c r="T39" s="12" t="n"/>
      <c r="U39" s="13" t="n"/>
      <c r="V39" s="13" t="n"/>
      <c r="W39" s="12" t="n"/>
      <c r="X39" s="14" t="n"/>
      <c r="Y39" s="12" t="n"/>
    </row>
    <row r="40">
      <c r="A40" s="14" t="n"/>
      <c r="B40" s="13" t="n"/>
      <c r="C40" s="14" t="n"/>
      <c r="D40" s="14" t="n"/>
      <c r="E40" s="14" t="n"/>
      <c r="F40" s="12" t="n"/>
      <c r="G40" s="14" t="n"/>
      <c r="H40" s="14" t="n"/>
      <c r="I40" s="15" t="n"/>
      <c r="J40" s="15" t="n"/>
      <c r="K40" s="9">
        <f>IF(OR($I40="",$J40="",$M40="",$N40="",$J40&lt;=0),"",($I40-($M40-$N40))/$J40)</f>
        <v/>
      </c>
      <c r="L40" s="15" t="n"/>
      <c r="M40" s="15" t="n"/>
      <c r="N40" s="15" t="n"/>
      <c r="O40" s="9">
        <f>IF(OR($I40="",$J40="",$M40="",$J40&lt;=0),"",($I40-$M40)/$J40)</f>
        <v/>
      </c>
      <c r="P40" s="10">
        <f>IF($L40="","",IF($L40&lt;300,"下限未満（対象外）",IF($L40&gt;3000,"上限超（対象外）","範囲内")))</f>
        <v/>
      </c>
      <c r="Q40" s="10">
        <f>IF($A40="","",IFERROR(INDEX(初期検討!$S:$S,MATCH($A40,初期検討!$A:$A,0)),""))</f>
        <v/>
      </c>
      <c r="R40" s="11">
        <f>IF($A40="","",IFERROR(INDEX(初期検討!$T:$T,MATCH($A40,初期検討!$A:$A,0)),""))</f>
        <v/>
      </c>
      <c r="S40" s="14" t="n"/>
      <c r="T40" s="12" t="n"/>
      <c r="U40" s="13" t="n"/>
      <c r="V40" s="13" t="n"/>
      <c r="W40" s="12" t="n"/>
      <c r="X40" s="14" t="n"/>
      <c r="Y40" s="12" t="n"/>
    </row>
    <row r="41">
      <c r="A41" s="14" t="n"/>
      <c r="B41" s="13" t="n"/>
      <c r="C41" s="14" t="n"/>
      <c r="D41" s="14" t="n"/>
      <c r="E41" s="14" t="n"/>
      <c r="F41" s="12" t="n"/>
      <c r="G41" s="14" t="n"/>
      <c r="H41" s="14" t="n"/>
      <c r="I41" s="15" t="n"/>
      <c r="J41" s="15" t="n"/>
      <c r="K41" s="9">
        <f>IF(OR($I41="",$J41="",$M41="",$N41="",$J41&lt;=0),"",($I41-($M41-$N41))/$J41)</f>
        <v/>
      </c>
      <c r="L41" s="15" t="n"/>
      <c r="M41" s="15" t="n"/>
      <c r="N41" s="15" t="n"/>
      <c r="O41" s="9">
        <f>IF(OR($I41="",$J41="",$M41="",$J41&lt;=0),"",($I41-$M41)/$J41)</f>
        <v/>
      </c>
      <c r="P41" s="10">
        <f>IF($L41="","",IF($L41&lt;300,"下限未満（対象外）",IF($L41&gt;3000,"上限超（対象外）","範囲内")))</f>
        <v/>
      </c>
      <c r="Q41" s="10">
        <f>IF($A41="","",IFERROR(INDEX(初期検討!$S:$S,MATCH($A41,初期検討!$A:$A,0)),""))</f>
        <v/>
      </c>
      <c r="R41" s="11">
        <f>IF($A41="","",IFERROR(INDEX(初期検討!$T:$T,MATCH($A41,初期検討!$A:$A,0)),""))</f>
        <v/>
      </c>
      <c r="S41" s="14" t="n"/>
      <c r="T41" s="12" t="n"/>
      <c r="U41" s="13" t="n"/>
      <c r="V41" s="13" t="n"/>
      <c r="W41" s="12" t="n"/>
      <c r="X41" s="14" t="n"/>
      <c r="Y41" s="12" t="n"/>
    </row>
    <row r="42">
      <c r="A42" s="14" t="n"/>
      <c r="B42" s="13" t="n"/>
      <c r="C42" s="14" t="n"/>
      <c r="D42" s="14" t="n"/>
      <c r="E42" s="14" t="n"/>
      <c r="F42" s="12" t="n"/>
      <c r="G42" s="14" t="n"/>
      <c r="H42" s="14" t="n"/>
      <c r="I42" s="15" t="n"/>
      <c r="J42" s="15" t="n"/>
      <c r="K42" s="9">
        <f>IF(OR($I42="",$J42="",$M42="",$N42="",$J42&lt;=0),"",($I42-($M42-$N42))/$J42)</f>
        <v/>
      </c>
      <c r="L42" s="15" t="n"/>
      <c r="M42" s="15" t="n"/>
      <c r="N42" s="15" t="n"/>
      <c r="O42" s="9">
        <f>IF(OR($I42="",$J42="",$M42="",$J42&lt;=0),"",($I42-$M42)/$J42)</f>
        <v/>
      </c>
      <c r="P42" s="10">
        <f>IF($L42="","",IF($L42&lt;300,"下限未満（対象外）",IF($L42&gt;3000,"上限超（対象外）","範囲内")))</f>
        <v/>
      </c>
      <c r="Q42" s="10">
        <f>IF($A42="","",IFERROR(INDEX(初期検討!$S:$S,MATCH($A42,初期検討!$A:$A,0)),""))</f>
        <v/>
      </c>
      <c r="R42" s="11">
        <f>IF($A42="","",IFERROR(INDEX(初期検討!$T:$T,MATCH($A42,初期検討!$A:$A,0)),""))</f>
        <v/>
      </c>
      <c r="S42" s="14" t="n"/>
      <c r="T42" s="12" t="n"/>
      <c r="U42" s="13" t="n"/>
      <c r="V42" s="13" t="n"/>
      <c r="W42" s="12" t="n"/>
      <c r="X42" s="14" t="n"/>
      <c r="Y42" s="12" t="n"/>
    </row>
    <row r="43">
      <c r="A43" s="14" t="n"/>
      <c r="B43" s="13" t="n"/>
      <c r="C43" s="14" t="n"/>
      <c r="D43" s="14" t="n"/>
      <c r="E43" s="14" t="n"/>
      <c r="F43" s="12" t="n"/>
      <c r="G43" s="14" t="n"/>
      <c r="H43" s="14" t="n"/>
      <c r="I43" s="15" t="n"/>
      <c r="J43" s="15" t="n"/>
      <c r="K43" s="9">
        <f>IF(OR($I43="",$J43="",$M43="",$N43="",$J43&lt;=0),"",($I43-($M43-$N43))/$J43)</f>
        <v/>
      </c>
      <c r="L43" s="15" t="n"/>
      <c r="M43" s="15" t="n"/>
      <c r="N43" s="15" t="n"/>
      <c r="O43" s="9">
        <f>IF(OR($I43="",$J43="",$M43="",$J43&lt;=0),"",($I43-$M43)/$J43)</f>
        <v/>
      </c>
      <c r="P43" s="10">
        <f>IF($L43="","",IF($L43&lt;300,"下限未満（対象外）",IF($L43&gt;3000,"上限超（対象外）","範囲内")))</f>
        <v/>
      </c>
      <c r="Q43" s="10">
        <f>IF($A43="","",IFERROR(INDEX(初期検討!$S:$S,MATCH($A43,初期検討!$A:$A,0)),""))</f>
        <v/>
      </c>
      <c r="R43" s="11">
        <f>IF($A43="","",IFERROR(INDEX(初期検討!$T:$T,MATCH($A43,初期検討!$A:$A,0)),""))</f>
        <v/>
      </c>
      <c r="S43" s="14" t="n"/>
      <c r="T43" s="12" t="n"/>
      <c r="U43" s="13" t="n"/>
      <c r="V43" s="13" t="n"/>
      <c r="W43" s="12" t="n"/>
      <c r="X43" s="14" t="n"/>
      <c r="Y43" s="12" t="n"/>
    </row>
    <row r="44">
      <c r="A44" s="14" t="n"/>
      <c r="B44" s="13" t="n"/>
      <c r="C44" s="14" t="n"/>
      <c r="D44" s="14" t="n"/>
      <c r="E44" s="14" t="n"/>
      <c r="F44" s="12" t="n"/>
      <c r="G44" s="14" t="n"/>
      <c r="H44" s="14" t="n"/>
      <c r="I44" s="15" t="n"/>
      <c r="J44" s="15" t="n"/>
      <c r="K44" s="9">
        <f>IF(OR($I44="",$J44="",$M44="",$N44="",$J44&lt;=0),"",($I44-($M44-$N44))/$J44)</f>
        <v/>
      </c>
      <c r="L44" s="15" t="n"/>
      <c r="M44" s="15" t="n"/>
      <c r="N44" s="15" t="n"/>
      <c r="O44" s="9">
        <f>IF(OR($I44="",$J44="",$M44="",$J44&lt;=0),"",($I44-$M44)/$J44)</f>
        <v/>
      </c>
      <c r="P44" s="10">
        <f>IF($L44="","",IF($L44&lt;300,"下限未満（対象外）",IF($L44&gt;3000,"上限超（対象外）","範囲内")))</f>
        <v/>
      </c>
      <c r="Q44" s="10">
        <f>IF($A44="","",IFERROR(INDEX(初期検討!$S:$S,MATCH($A44,初期検討!$A:$A,0)),""))</f>
        <v/>
      </c>
      <c r="R44" s="11">
        <f>IF($A44="","",IFERROR(INDEX(初期検討!$T:$T,MATCH($A44,初期検討!$A:$A,0)),""))</f>
        <v/>
      </c>
      <c r="S44" s="14" t="n"/>
      <c r="T44" s="12" t="n"/>
      <c r="U44" s="13" t="n"/>
      <c r="V44" s="13" t="n"/>
      <c r="W44" s="12" t="n"/>
      <c r="X44" s="14" t="n"/>
      <c r="Y44" s="12" t="n"/>
    </row>
    <row r="45">
      <c r="A45" s="14" t="n"/>
      <c r="B45" s="13" t="n"/>
      <c r="C45" s="14" t="n"/>
      <c r="D45" s="14" t="n"/>
      <c r="E45" s="14" t="n"/>
      <c r="F45" s="12" t="n"/>
      <c r="G45" s="14" t="n"/>
      <c r="H45" s="14" t="n"/>
      <c r="I45" s="15" t="n"/>
      <c r="J45" s="15" t="n"/>
      <c r="K45" s="9">
        <f>IF(OR($I45="",$J45="",$M45="",$N45="",$J45&lt;=0),"",($I45-($M45-$N45))/$J45)</f>
        <v/>
      </c>
      <c r="L45" s="15" t="n"/>
      <c r="M45" s="15" t="n"/>
      <c r="N45" s="15" t="n"/>
      <c r="O45" s="9">
        <f>IF(OR($I45="",$J45="",$M45="",$J45&lt;=0),"",($I45-$M45)/$J45)</f>
        <v/>
      </c>
      <c r="P45" s="10">
        <f>IF($L45="","",IF($L45&lt;300,"下限未満（対象外）",IF($L45&gt;3000,"上限超（対象外）","範囲内")))</f>
        <v/>
      </c>
      <c r="Q45" s="10">
        <f>IF($A45="","",IFERROR(INDEX(初期検討!$S:$S,MATCH($A45,初期検討!$A:$A,0)),""))</f>
        <v/>
      </c>
      <c r="R45" s="11">
        <f>IF($A45="","",IFERROR(INDEX(初期検討!$T:$T,MATCH($A45,初期検討!$A:$A,0)),""))</f>
        <v/>
      </c>
      <c r="S45" s="14" t="n"/>
      <c r="T45" s="12" t="n"/>
      <c r="U45" s="13" t="n"/>
      <c r="V45" s="13" t="n"/>
      <c r="W45" s="12" t="n"/>
      <c r="X45" s="14" t="n"/>
      <c r="Y45" s="12" t="n"/>
    </row>
    <row r="46">
      <c r="A46" s="14" t="n"/>
      <c r="B46" s="13" t="n"/>
      <c r="C46" s="14" t="n"/>
      <c r="D46" s="14" t="n"/>
      <c r="E46" s="14" t="n"/>
      <c r="F46" s="12" t="n"/>
      <c r="G46" s="14" t="n"/>
      <c r="H46" s="14" t="n"/>
      <c r="I46" s="15" t="n"/>
      <c r="J46" s="15" t="n"/>
      <c r="K46" s="9">
        <f>IF(OR($I46="",$J46="",$M46="",$N46="",$J46&lt;=0),"",($I46-($M46-$N46))/$J46)</f>
        <v/>
      </c>
      <c r="L46" s="15" t="n"/>
      <c r="M46" s="15" t="n"/>
      <c r="N46" s="15" t="n"/>
      <c r="O46" s="9">
        <f>IF(OR($I46="",$J46="",$M46="",$J46&lt;=0),"",($I46-$M46)/$J46)</f>
        <v/>
      </c>
      <c r="P46" s="10">
        <f>IF($L46="","",IF($L46&lt;300,"下限未満（対象外）",IF($L46&gt;3000,"上限超（対象外）","範囲内")))</f>
        <v/>
      </c>
      <c r="Q46" s="10">
        <f>IF($A46="","",IFERROR(INDEX(初期検討!$S:$S,MATCH($A46,初期検討!$A:$A,0)),""))</f>
        <v/>
      </c>
      <c r="R46" s="11">
        <f>IF($A46="","",IFERROR(INDEX(初期検討!$T:$T,MATCH($A46,初期検討!$A:$A,0)),""))</f>
        <v/>
      </c>
      <c r="S46" s="14" t="n"/>
      <c r="T46" s="12" t="n"/>
      <c r="U46" s="13" t="n"/>
      <c r="V46" s="13" t="n"/>
      <c r="W46" s="12" t="n"/>
      <c r="X46" s="14" t="n"/>
      <c r="Y46" s="12" t="n"/>
    </row>
    <row r="47">
      <c r="A47" s="14" t="n"/>
      <c r="B47" s="13" t="n"/>
      <c r="C47" s="14" t="n"/>
      <c r="D47" s="14" t="n"/>
      <c r="E47" s="14" t="n"/>
      <c r="F47" s="12" t="n"/>
      <c r="G47" s="14" t="n"/>
      <c r="H47" s="14" t="n"/>
      <c r="I47" s="15" t="n"/>
      <c r="J47" s="15" t="n"/>
      <c r="K47" s="9">
        <f>IF(OR($I47="",$J47="",$M47="",$N47="",$J47&lt;=0),"",($I47-($M47-$N47))/$J47)</f>
        <v/>
      </c>
      <c r="L47" s="15" t="n"/>
      <c r="M47" s="15" t="n"/>
      <c r="N47" s="15" t="n"/>
      <c r="O47" s="9">
        <f>IF(OR($I47="",$J47="",$M47="",$J47&lt;=0),"",($I47-$M47)/$J47)</f>
        <v/>
      </c>
      <c r="P47" s="10">
        <f>IF($L47="","",IF($L47&lt;300,"下限未満（対象外）",IF($L47&gt;3000,"上限超（対象外）","範囲内")))</f>
        <v/>
      </c>
      <c r="Q47" s="10">
        <f>IF($A47="","",IFERROR(INDEX(初期検討!$S:$S,MATCH($A47,初期検討!$A:$A,0)),""))</f>
        <v/>
      </c>
      <c r="R47" s="11">
        <f>IF($A47="","",IFERROR(INDEX(初期検討!$T:$T,MATCH($A47,初期検討!$A:$A,0)),""))</f>
        <v/>
      </c>
      <c r="S47" s="14" t="n"/>
      <c r="T47" s="12" t="n"/>
      <c r="U47" s="13" t="n"/>
      <c r="V47" s="13" t="n"/>
      <c r="W47" s="12" t="n"/>
      <c r="X47" s="14" t="n"/>
      <c r="Y47" s="12" t="n"/>
    </row>
    <row r="48">
      <c r="A48" s="14" t="n"/>
      <c r="B48" s="13" t="n"/>
      <c r="C48" s="14" t="n"/>
      <c r="D48" s="14" t="n"/>
      <c r="E48" s="14" t="n"/>
      <c r="F48" s="12" t="n"/>
      <c r="G48" s="14" t="n"/>
      <c r="H48" s="14" t="n"/>
      <c r="I48" s="15" t="n"/>
      <c r="J48" s="15" t="n"/>
      <c r="K48" s="9">
        <f>IF(OR($I48="",$J48="",$M48="",$N48="",$J48&lt;=0),"",($I48-($M48-$N48))/$J48)</f>
        <v/>
      </c>
      <c r="L48" s="15" t="n"/>
      <c r="M48" s="15" t="n"/>
      <c r="N48" s="15" t="n"/>
      <c r="O48" s="9">
        <f>IF(OR($I48="",$J48="",$M48="",$J48&lt;=0),"",($I48-$M48)/$J48)</f>
        <v/>
      </c>
      <c r="P48" s="10">
        <f>IF($L48="","",IF($L48&lt;300,"下限未満（対象外）",IF($L48&gt;3000,"上限超（対象外）","範囲内")))</f>
        <v/>
      </c>
      <c r="Q48" s="10">
        <f>IF($A48="","",IFERROR(INDEX(初期検討!$S:$S,MATCH($A48,初期検討!$A:$A,0)),""))</f>
        <v/>
      </c>
      <c r="R48" s="11">
        <f>IF($A48="","",IFERROR(INDEX(初期検討!$T:$T,MATCH($A48,初期検討!$A:$A,0)),""))</f>
        <v/>
      </c>
      <c r="S48" s="14" t="n"/>
      <c r="T48" s="12" t="n"/>
      <c r="U48" s="13" t="n"/>
      <c r="V48" s="13" t="n"/>
      <c r="W48" s="12" t="n"/>
      <c r="X48" s="14" t="n"/>
      <c r="Y48" s="12" t="n"/>
    </row>
    <row r="49">
      <c r="A49" s="14" t="n"/>
      <c r="B49" s="13" t="n"/>
      <c r="C49" s="14" t="n"/>
      <c r="D49" s="14" t="n"/>
      <c r="E49" s="14" t="n"/>
      <c r="F49" s="12" t="n"/>
      <c r="G49" s="14" t="n"/>
      <c r="H49" s="14" t="n"/>
      <c r="I49" s="15" t="n"/>
      <c r="J49" s="15" t="n"/>
      <c r="K49" s="9">
        <f>IF(OR($I49="",$J49="",$M49="",$N49="",$J49&lt;=0),"",($I49-($M49-$N49))/$J49)</f>
        <v/>
      </c>
      <c r="L49" s="15" t="n"/>
      <c r="M49" s="15" t="n"/>
      <c r="N49" s="15" t="n"/>
      <c r="O49" s="9">
        <f>IF(OR($I49="",$J49="",$M49="",$J49&lt;=0),"",($I49-$M49)/$J49)</f>
        <v/>
      </c>
      <c r="P49" s="10">
        <f>IF($L49="","",IF($L49&lt;300,"下限未満（対象外）",IF($L49&gt;3000,"上限超（対象外）","範囲内")))</f>
        <v/>
      </c>
      <c r="Q49" s="10">
        <f>IF($A49="","",IFERROR(INDEX(初期検討!$S:$S,MATCH($A49,初期検討!$A:$A,0)),""))</f>
        <v/>
      </c>
      <c r="R49" s="11">
        <f>IF($A49="","",IFERROR(INDEX(初期検討!$T:$T,MATCH($A49,初期検討!$A:$A,0)),""))</f>
        <v/>
      </c>
      <c r="S49" s="14" t="n"/>
      <c r="T49" s="12" t="n"/>
      <c r="U49" s="13" t="n"/>
      <c r="V49" s="13" t="n"/>
      <c r="W49" s="12" t="n"/>
      <c r="X49" s="14" t="n"/>
      <c r="Y49" s="12" t="n"/>
    </row>
    <row r="50">
      <c r="A50" s="14" t="n"/>
      <c r="B50" s="13" t="n"/>
      <c r="C50" s="14" t="n"/>
      <c r="D50" s="14" t="n"/>
      <c r="E50" s="14" t="n"/>
      <c r="F50" s="12" t="n"/>
      <c r="G50" s="14" t="n"/>
      <c r="H50" s="14" t="n"/>
      <c r="I50" s="15" t="n"/>
      <c r="J50" s="15" t="n"/>
      <c r="K50" s="9">
        <f>IF(OR($I50="",$J50="",$M50="",$N50="",$J50&lt;=0),"",($I50-($M50-$N50))/$J50)</f>
        <v/>
      </c>
      <c r="L50" s="15" t="n"/>
      <c r="M50" s="15" t="n"/>
      <c r="N50" s="15" t="n"/>
      <c r="O50" s="9">
        <f>IF(OR($I50="",$J50="",$M50="",$J50&lt;=0),"",($I50-$M50)/$J50)</f>
        <v/>
      </c>
      <c r="P50" s="10">
        <f>IF($L50="","",IF($L50&lt;300,"下限未満（対象外）",IF($L50&gt;3000,"上限超（対象外）","範囲内")))</f>
        <v/>
      </c>
      <c r="Q50" s="10">
        <f>IF($A50="","",IFERROR(INDEX(初期検討!$S:$S,MATCH($A50,初期検討!$A:$A,0)),""))</f>
        <v/>
      </c>
      <c r="R50" s="11">
        <f>IF($A50="","",IFERROR(INDEX(初期検討!$T:$T,MATCH($A50,初期検討!$A:$A,0)),""))</f>
        <v/>
      </c>
      <c r="S50" s="14" t="n"/>
      <c r="T50" s="12" t="n"/>
      <c r="U50" s="13" t="n"/>
      <c r="V50" s="13" t="n"/>
      <c r="W50" s="12" t="n"/>
      <c r="X50" s="14" t="n"/>
      <c r="Y50" s="12" t="n"/>
    </row>
    <row r="51">
      <c r="A51" s="14" t="n"/>
      <c r="B51" s="13" t="n"/>
      <c r="C51" s="14" t="n"/>
      <c r="D51" s="14" t="n"/>
      <c r="E51" s="14" t="n"/>
      <c r="F51" s="12" t="n"/>
      <c r="G51" s="14" t="n"/>
      <c r="H51" s="14" t="n"/>
      <c r="I51" s="15" t="n"/>
      <c r="J51" s="15" t="n"/>
      <c r="K51" s="9">
        <f>IF(OR($I51="",$J51="",$M51="",$N51="",$J51&lt;=0),"",($I51-($M51-$N51))/$J51)</f>
        <v/>
      </c>
      <c r="L51" s="15" t="n"/>
      <c r="M51" s="15" t="n"/>
      <c r="N51" s="15" t="n"/>
      <c r="O51" s="9">
        <f>IF(OR($I51="",$J51="",$M51="",$J51&lt;=0),"",($I51-$M51)/$J51)</f>
        <v/>
      </c>
      <c r="P51" s="10">
        <f>IF($L51="","",IF($L51&lt;300,"下限未満（対象外）",IF($L51&gt;3000,"上限超（対象外）","範囲内")))</f>
        <v/>
      </c>
      <c r="Q51" s="10">
        <f>IF($A51="","",IFERROR(INDEX(初期検討!$S:$S,MATCH($A51,初期検討!$A:$A,0)),""))</f>
        <v/>
      </c>
      <c r="R51" s="11">
        <f>IF($A51="","",IFERROR(INDEX(初期検討!$T:$T,MATCH($A51,初期検討!$A:$A,0)),""))</f>
        <v/>
      </c>
      <c r="S51" s="14" t="n"/>
      <c r="T51" s="12" t="n"/>
      <c r="U51" s="13" t="n"/>
      <c r="V51" s="13" t="n"/>
      <c r="W51" s="12" t="n"/>
      <c r="X51" s="14" t="n"/>
      <c r="Y51" s="12" t="n"/>
    </row>
    <row r="52">
      <c r="A52" s="14" t="n"/>
      <c r="B52" s="13" t="n"/>
      <c r="C52" s="14" t="n"/>
      <c r="D52" s="14" t="n"/>
      <c r="E52" s="14" t="n"/>
      <c r="F52" s="12" t="n"/>
      <c r="G52" s="14" t="n"/>
      <c r="H52" s="14" t="n"/>
      <c r="I52" s="15" t="n"/>
      <c r="J52" s="15" t="n"/>
      <c r="K52" s="9">
        <f>IF(OR($I52="",$J52="",$M52="",$N52="",$J52&lt;=0),"",($I52-($M52-$N52))/$J52)</f>
        <v/>
      </c>
      <c r="L52" s="15" t="n"/>
      <c r="M52" s="15" t="n"/>
      <c r="N52" s="15" t="n"/>
      <c r="O52" s="9">
        <f>IF(OR($I52="",$J52="",$M52="",$J52&lt;=0),"",($I52-$M52)/$J52)</f>
        <v/>
      </c>
      <c r="P52" s="10">
        <f>IF($L52="","",IF($L52&lt;300,"下限未満（対象外）",IF($L52&gt;3000,"上限超（対象外）","範囲内")))</f>
        <v/>
      </c>
      <c r="Q52" s="10">
        <f>IF($A52="","",IFERROR(INDEX(初期検討!$S:$S,MATCH($A52,初期検討!$A:$A,0)),""))</f>
        <v/>
      </c>
      <c r="R52" s="11">
        <f>IF($A52="","",IFERROR(INDEX(初期検討!$T:$T,MATCH($A52,初期検討!$A:$A,0)),""))</f>
        <v/>
      </c>
      <c r="S52" s="14" t="n"/>
      <c r="T52" s="12" t="n"/>
      <c r="U52" s="13" t="n"/>
      <c r="V52" s="13" t="n"/>
      <c r="W52" s="12" t="n"/>
      <c r="X52" s="14" t="n"/>
      <c r="Y52" s="12" t="n"/>
    </row>
    <row r="53">
      <c r="A53" s="14" t="n"/>
      <c r="B53" s="13" t="n"/>
      <c r="C53" s="14" t="n"/>
      <c r="D53" s="14" t="n"/>
      <c r="E53" s="14" t="n"/>
      <c r="F53" s="12" t="n"/>
      <c r="G53" s="14" t="n"/>
      <c r="H53" s="14" t="n"/>
      <c r="I53" s="15" t="n"/>
      <c r="J53" s="15" t="n"/>
      <c r="K53" s="9">
        <f>IF(OR($I53="",$J53="",$M53="",$N53="",$J53&lt;=0),"",($I53-($M53-$N53))/$J53)</f>
        <v/>
      </c>
      <c r="L53" s="15" t="n"/>
      <c r="M53" s="15" t="n"/>
      <c r="N53" s="15" t="n"/>
      <c r="O53" s="9">
        <f>IF(OR($I53="",$J53="",$M53="",$J53&lt;=0),"",($I53-$M53)/$J53)</f>
        <v/>
      </c>
      <c r="P53" s="10">
        <f>IF($L53="","",IF($L53&lt;300,"下限未満（対象外）",IF($L53&gt;3000,"上限超（対象外）","範囲内")))</f>
        <v/>
      </c>
      <c r="Q53" s="10">
        <f>IF($A53="","",IFERROR(INDEX(初期検討!$S:$S,MATCH($A53,初期検討!$A:$A,0)),""))</f>
        <v/>
      </c>
      <c r="R53" s="11">
        <f>IF($A53="","",IFERROR(INDEX(初期検討!$T:$T,MATCH($A53,初期検討!$A:$A,0)),""))</f>
        <v/>
      </c>
      <c r="S53" s="14" t="n"/>
      <c r="T53" s="12" t="n"/>
      <c r="U53" s="13" t="n"/>
      <c r="V53" s="13" t="n"/>
      <c r="W53" s="12" t="n"/>
      <c r="X53" s="14" t="n"/>
      <c r="Y53" s="12" t="n"/>
    </row>
    <row r="54">
      <c r="A54" s="14" t="n"/>
      <c r="B54" s="13" t="n"/>
      <c r="C54" s="14" t="n"/>
      <c r="D54" s="14" t="n"/>
      <c r="E54" s="14" t="n"/>
      <c r="F54" s="12" t="n"/>
      <c r="G54" s="14" t="n"/>
      <c r="H54" s="14" t="n"/>
      <c r="I54" s="15" t="n"/>
      <c r="J54" s="15" t="n"/>
      <c r="K54" s="9">
        <f>IF(OR($I54="",$J54="",$M54="",$N54="",$J54&lt;=0),"",($I54-($M54-$N54))/$J54)</f>
        <v/>
      </c>
      <c r="L54" s="15" t="n"/>
      <c r="M54" s="15" t="n"/>
      <c r="N54" s="15" t="n"/>
      <c r="O54" s="9">
        <f>IF(OR($I54="",$J54="",$M54="",$J54&lt;=0),"",($I54-$M54)/$J54)</f>
        <v/>
      </c>
      <c r="P54" s="10">
        <f>IF($L54="","",IF($L54&lt;300,"下限未満（対象外）",IF($L54&gt;3000,"上限超（対象外）","範囲内")))</f>
        <v/>
      </c>
      <c r="Q54" s="10">
        <f>IF($A54="","",IFERROR(INDEX(初期検討!$S:$S,MATCH($A54,初期検討!$A:$A,0)),""))</f>
        <v/>
      </c>
      <c r="R54" s="11">
        <f>IF($A54="","",IFERROR(INDEX(初期検討!$T:$T,MATCH($A54,初期検討!$A:$A,0)),""))</f>
        <v/>
      </c>
      <c r="S54" s="14" t="n"/>
      <c r="T54" s="12" t="n"/>
      <c r="U54" s="13" t="n"/>
      <c r="V54" s="13" t="n"/>
      <c r="W54" s="12" t="n"/>
      <c r="X54" s="14" t="n"/>
      <c r="Y54" s="12" t="n"/>
    </row>
    <row r="55">
      <c r="A55" s="14" t="n"/>
      <c r="B55" s="13" t="n"/>
      <c r="C55" s="14" t="n"/>
      <c r="D55" s="14" t="n"/>
      <c r="E55" s="14" t="n"/>
      <c r="F55" s="12" t="n"/>
      <c r="G55" s="14" t="n"/>
      <c r="H55" s="14" t="n"/>
      <c r="I55" s="15" t="n"/>
      <c r="J55" s="15" t="n"/>
      <c r="K55" s="9">
        <f>IF(OR($I55="",$J55="",$M55="",$N55="",$J55&lt;=0),"",($I55-($M55-$N55))/$J55)</f>
        <v/>
      </c>
      <c r="L55" s="15" t="n"/>
      <c r="M55" s="15" t="n"/>
      <c r="N55" s="15" t="n"/>
      <c r="O55" s="9">
        <f>IF(OR($I55="",$J55="",$M55="",$J55&lt;=0),"",($I55-$M55)/$J55)</f>
        <v/>
      </c>
      <c r="P55" s="10">
        <f>IF($L55="","",IF($L55&lt;300,"下限未満（対象外）",IF($L55&gt;3000,"上限超（対象外）","範囲内")))</f>
        <v/>
      </c>
      <c r="Q55" s="10">
        <f>IF($A55="","",IFERROR(INDEX(初期検討!$S:$S,MATCH($A55,初期検討!$A:$A,0)),""))</f>
        <v/>
      </c>
      <c r="R55" s="11">
        <f>IF($A55="","",IFERROR(INDEX(初期検討!$T:$T,MATCH($A55,初期検討!$A:$A,0)),""))</f>
        <v/>
      </c>
      <c r="S55" s="14" t="n"/>
      <c r="T55" s="12" t="n"/>
      <c r="U55" s="13" t="n"/>
      <c r="V55" s="13" t="n"/>
      <c r="W55" s="12" t="n"/>
      <c r="X55" s="14" t="n"/>
      <c r="Y55" s="12" t="n"/>
    </row>
    <row r="56">
      <c r="A56" s="14" t="n"/>
      <c r="B56" s="13" t="n"/>
      <c r="C56" s="14" t="n"/>
      <c r="D56" s="14" t="n"/>
      <c r="E56" s="14" t="n"/>
      <c r="F56" s="12" t="n"/>
      <c r="G56" s="14" t="n"/>
      <c r="H56" s="14" t="n"/>
      <c r="I56" s="15" t="n"/>
      <c r="J56" s="15" t="n"/>
      <c r="K56" s="9">
        <f>IF(OR($I56="",$J56="",$M56="",$N56="",$J56&lt;=0),"",($I56-($M56-$N56))/$J56)</f>
        <v/>
      </c>
      <c r="L56" s="15" t="n"/>
      <c r="M56" s="15" t="n"/>
      <c r="N56" s="15" t="n"/>
      <c r="O56" s="9">
        <f>IF(OR($I56="",$J56="",$M56="",$J56&lt;=0),"",($I56-$M56)/$J56)</f>
        <v/>
      </c>
      <c r="P56" s="10">
        <f>IF($L56="","",IF($L56&lt;300,"下限未満（対象外）",IF($L56&gt;3000,"上限超（対象外）","範囲内")))</f>
        <v/>
      </c>
      <c r="Q56" s="10">
        <f>IF($A56="","",IFERROR(INDEX(初期検討!$S:$S,MATCH($A56,初期検討!$A:$A,0)),""))</f>
        <v/>
      </c>
      <c r="R56" s="11">
        <f>IF($A56="","",IFERROR(INDEX(初期検討!$T:$T,MATCH($A56,初期検討!$A:$A,0)),""))</f>
        <v/>
      </c>
      <c r="S56" s="14" t="n"/>
      <c r="T56" s="12" t="n"/>
      <c r="U56" s="13" t="n"/>
      <c r="V56" s="13" t="n"/>
      <c r="W56" s="12" t="n"/>
      <c r="X56" s="14" t="n"/>
      <c r="Y56" s="12" t="n"/>
    </row>
    <row r="57">
      <c r="A57" s="14" t="n"/>
      <c r="B57" s="13" t="n"/>
      <c r="C57" s="14" t="n"/>
      <c r="D57" s="14" t="n"/>
      <c r="E57" s="14" t="n"/>
      <c r="F57" s="12" t="n"/>
      <c r="G57" s="14" t="n"/>
      <c r="H57" s="14" t="n"/>
      <c r="I57" s="15" t="n"/>
      <c r="J57" s="15" t="n"/>
      <c r="K57" s="9">
        <f>IF(OR($I57="",$J57="",$M57="",$N57="",$J57&lt;=0),"",($I57-($M57-$N57))/$J57)</f>
        <v/>
      </c>
      <c r="L57" s="15" t="n"/>
      <c r="M57" s="15" t="n"/>
      <c r="N57" s="15" t="n"/>
      <c r="O57" s="9">
        <f>IF(OR($I57="",$J57="",$M57="",$J57&lt;=0),"",($I57-$M57)/$J57)</f>
        <v/>
      </c>
      <c r="P57" s="10">
        <f>IF($L57="","",IF($L57&lt;300,"下限未満（対象外）",IF($L57&gt;3000,"上限超（対象外）","範囲内")))</f>
        <v/>
      </c>
      <c r="Q57" s="10">
        <f>IF($A57="","",IFERROR(INDEX(初期検討!$S:$S,MATCH($A57,初期検討!$A:$A,0)),""))</f>
        <v/>
      </c>
      <c r="R57" s="11">
        <f>IF($A57="","",IFERROR(INDEX(初期検討!$T:$T,MATCH($A57,初期検討!$A:$A,0)),""))</f>
        <v/>
      </c>
      <c r="S57" s="14" t="n"/>
      <c r="T57" s="12" t="n"/>
      <c r="U57" s="13" t="n"/>
      <c r="V57" s="13" t="n"/>
      <c r="W57" s="12" t="n"/>
      <c r="X57" s="14" t="n"/>
      <c r="Y57" s="12" t="n"/>
    </row>
    <row r="58">
      <c r="A58" s="14" t="n"/>
      <c r="B58" s="13" t="n"/>
      <c r="C58" s="14" t="n"/>
      <c r="D58" s="14" t="n"/>
      <c r="E58" s="14" t="n"/>
      <c r="F58" s="12" t="n"/>
      <c r="G58" s="14" t="n"/>
      <c r="H58" s="14" t="n"/>
      <c r="I58" s="15" t="n"/>
      <c r="J58" s="15" t="n"/>
      <c r="K58" s="9">
        <f>IF(OR($I58="",$J58="",$M58="",$N58="",$J58&lt;=0),"",($I58-($M58-$N58))/$J58)</f>
        <v/>
      </c>
      <c r="L58" s="15" t="n"/>
      <c r="M58" s="15" t="n"/>
      <c r="N58" s="15" t="n"/>
      <c r="O58" s="9">
        <f>IF(OR($I58="",$J58="",$M58="",$J58&lt;=0),"",($I58-$M58)/$J58)</f>
        <v/>
      </c>
      <c r="P58" s="10">
        <f>IF($L58="","",IF($L58&lt;300,"下限未満（対象外）",IF($L58&gt;3000,"上限超（対象外）","範囲内")))</f>
        <v/>
      </c>
      <c r="Q58" s="10">
        <f>IF($A58="","",IFERROR(INDEX(初期検討!$S:$S,MATCH($A58,初期検討!$A:$A,0)),""))</f>
        <v/>
      </c>
      <c r="R58" s="11">
        <f>IF($A58="","",IFERROR(INDEX(初期検討!$T:$T,MATCH($A58,初期検討!$A:$A,0)),""))</f>
        <v/>
      </c>
      <c r="S58" s="14" t="n"/>
      <c r="T58" s="12" t="n"/>
      <c r="U58" s="13" t="n"/>
      <c r="V58" s="13" t="n"/>
      <c r="W58" s="12" t="n"/>
      <c r="X58" s="14" t="n"/>
      <c r="Y58" s="12" t="n"/>
    </row>
    <row r="59">
      <c r="A59" s="14" t="n"/>
      <c r="B59" s="13" t="n"/>
      <c r="C59" s="14" t="n"/>
      <c r="D59" s="14" t="n"/>
      <c r="E59" s="14" t="n"/>
      <c r="F59" s="12" t="n"/>
      <c r="G59" s="14" t="n"/>
      <c r="H59" s="14" t="n"/>
      <c r="I59" s="15" t="n"/>
      <c r="J59" s="15" t="n"/>
      <c r="K59" s="9">
        <f>IF(OR($I59="",$J59="",$M59="",$N59="",$J59&lt;=0),"",($I59-($M59-$N59))/$J59)</f>
        <v/>
      </c>
      <c r="L59" s="15" t="n"/>
      <c r="M59" s="15" t="n"/>
      <c r="N59" s="15" t="n"/>
      <c r="O59" s="9">
        <f>IF(OR($I59="",$J59="",$M59="",$J59&lt;=0),"",($I59-$M59)/$J59)</f>
        <v/>
      </c>
      <c r="P59" s="10">
        <f>IF($L59="","",IF($L59&lt;300,"下限未満（対象外）",IF($L59&gt;3000,"上限超（対象外）","範囲内")))</f>
        <v/>
      </c>
      <c r="Q59" s="10">
        <f>IF($A59="","",IFERROR(INDEX(初期検討!$S:$S,MATCH($A59,初期検討!$A:$A,0)),""))</f>
        <v/>
      </c>
      <c r="R59" s="11">
        <f>IF($A59="","",IFERROR(INDEX(初期検討!$T:$T,MATCH($A59,初期検討!$A:$A,0)),""))</f>
        <v/>
      </c>
      <c r="S59" s="14" t="n"/>
      <c r="T59" s="12" t="n"/>
      <c r="U59" s="13" t="n"/>
      <c r="V59" s="13" t="n"/>
      <c r="W59" s="12" t="n"/>
      <c r="X59" s="14" t="n"/>
      <c r="Y59" s="12" t="n"/>
    </row>
    <row r="60">
      <c r="A60" s="14" t="n"/>
      <c r="B60" s="13" t="n"/>
      <c r="C60" s="14" t="n"/>
      <c r="D60" s="14" t="n"/>
      <c r="E60" s="14" t="n"/>
      <c r="F60" s="12" t="n"/>
      <c r="G60" s="14" t="n"/>
      <c r="H60" s="14" t="n"/>
      <c r="I60" s="15" t="n"/>
      <c r="J60" s="15" t="n"/>
      <c r="K60" s="9">
        <f>IF(OR($I60="",$J60="",$M60="",$N60="",$J60&lt;=0),"",($I60-($M60-$N60))/$J60)</f>
        <v/>
      </c>
      <c r="L60" s="15" t="n"/>
      <c r="M60" s="15" t="n"/>
      <c r="N60" s="15" t="n"/>
      <c r="O60" s="9">
        <f>IF(OR($I60="",$J60="",$M60="",$J60&lt;=0),"",($I60-$M60)/$J60)</f>
        <v/>
      </c>
      <c r="P60" s="10">
        <f>IF($L60="","",IF($L60&lt;300,"下限未満（対象外）",IF($L60&gt;3000,"上限超（対象外）","範囲内")))</f>
        <v/>
      </c>
      <c r="Q60" s="10">
        <f>IF($A60="","",IFERROR(INDEX(初期検討!$S:$S,MATCH($A60,初期検討!$A:$A,0)),""))</f>
        <v/>
      </c>
      <c r="R60" s="11">
        <f>IF($A60="","",IFERROR(INDEX(初期検討!$T:$T,MATCH($A60,初期検討!$A:$A,0)),""))</f>
        <v/>
      </c>
      <c r="S60" s="14" t="n"/>
      <c r="T60" s="12" t="n"/>
      <c r="U60" s="13" t="n"/>
      <c r="V60" s="13" t="n"/>
      <c r="W60" s="12" t="n"/>
      <c r="X60" s="14" t="n"/>
      <c r="Y60" s="12" t="n"/>
    </row>
    <row r="61">
      <c r="A61" s="14" t="n"/>
      <c r="B61" s="13" t="n"/>
      <c r="C61" s="14" t="n"/>
      <c r="D61" s="14" t="n"/>
      <c r="E61" s="14" t="n"/>
      <c r="F61" s="12" t="n"/>
      <c r="G61" s="14" t="n"/>
      <c r="H61" s="14" t="n"/>
      <c r="I61" s="15" t="n"/>
      <c r="J61" s="15" t="n"/>
      <c r="K61" s="9">
        <f>IF(OR($I61="",$J61="",$M61="",$N61="",$J61&lt;=0),"",($I61-($M61-$N61))/$J61)</f>
        <v/>
      </c>
      <c r="L61" s="15" t="n"/>
      <c r="M61" s="15" t="n"/>
      <c r="N61" s="15" t="n"/>
      <c r="O61" s="9">
        <f>IF(OR($I61="",$J61="",$M61="",$J61&lt;=0),"",($I61-$M61)/$J61)</f>
        <v/>
      </c>
      <c r="P61" s="10">
        <f>IF($L61="","",IF($L61&lt;300,"下限未満（対象外）",IF($L61&gt;3000,"上限超（対象外）","範囲内")))</f>
        <v/>
      </c>
      <c r="Q61" s="10">
        <f>IF($A61="","",IFERROR(INDEX(初期検討!$S:$S,MATCH($A61,初期検討!$A:$A,0)),""))</f>
        <v/>
      </c>
      <c r="R61" s="11">
        <f>IF($A61="","",IFERROR(INDEX(初期検討!$T:$T,MATCH($A61,初期検討!$A:$A,0)),""))</f>
        <v/>
      </c>
      <c r="S61" s="14" t="n"/>
      <c r="T61" s="12" t="n"/>
      <c r="U61" s="13" t="n"/>
      <c r="V61" s="13" t="n"/>
      <c r="W61" s="12" t="n"/>
      <c r="X61" s="14" t="n"/>
      <c r="Y61" s="12" t="n"/>
    </row>
    <row r="62">
      <c r="A62" s="14" t="n"/>
      <c r="B62" s="13" t="n"/>
      <c r="C62" s="14" t="n"/>
      <c r="D62" s="14" t="n"/>
      <c r="E62" s="14" t="n"/>
      <c r="F62" s="12" t="n"/>
      <c r="G62" s="14" t="n"/>
      <c r="H62" s="14" t="n"/>
      <c r="I62" s="15" t="n"/>
      <c r="J62" s="15" t="n"/>
      <c r="K62" s="9">
        <f>IF(OR($I62="",$J62="",$M62="",$N62="",$J62&lt;=0),"",($I62-($M62-$N62))/$J62)</f>
        <v/>
      </c>
      <c r="L62" s="15" t="n"/>
      <c r="M62" s="15" t="n"/>
      <c r="N62" s="15" t="n"/>
      <c r="O62" s="9">
        <f>IF(OR($I62="",$J62="",$M62="",$J62&lt;=0),"",($I62-$M62)/$J62)</f>
        <v/>
      </c>
      <c r="P62" s="10">
        <f>IF($L62="","",IF($L62&lt;300,"下限未満（対象外）",IF($L62&gt;3000,"上限超（対象外）","範囲内")))</f>
        <v/>
      </c>
      <c r="Q62" s="10">
        <f>IF($A62="","",IFERROR(INDEX(初期検討!$S:$S,MATCH($A62,初期検討!$A:$A,0)),""))</f>
        <v/>
      </c>
      <c r="R62" s="11">
        <f>IF($A62="","",IFERROR(INDEX(初期検討!$T:$T,MATCH($A62,初期検討!$A:$A,0)),""))</f>
        <v/>
      </c>
      <c r="S62" s="14" t="n"/>
      <c r="T62" s="12" t="n"/>
      <c r="U62" s="13" t="n"/>
      <c r="V62" s="13" t="n"/>
      <c r="W62" s="12" t="n"/>
      <c r="X62" s="14" t="n"/>
      <c r="Y62" s="12" t="n"/>
    </row>
    <row r="63">
      <c r="A63" s="14" t="n"/>
      <c r="B63" s="13" t="n"/>
      <c r="C63" s="14" t="n"/>
      <c r="D63" s="14" t="n"/>
      <c r="E63" s="14" t="n"/>
      <c r="F63" s="12" t="n"/>
      <c r="G63" s="14" t="n"/>
      <c r="H63" s="14" t="n"/>
      <c r="I63" s="15" t="n"/>
      <c r="J63" s="15" t="n"/>
      <c r="K63" s="9">
        <f>IF(OR($I63="",$J63="",$M63="",$N63="",$J63&lt;=0),"",($I63-($M63-$N63))/$J63)</f>
        <v/>
      </c>
      <c r="L63" s="15" t="n"/>
      <c r="M63" s="15" t="n"/>
      <c r="N63" s="15" t="n"/>
      <c r="O63" s="9">
        <f>IF(OR($I63="",$J63="",$M63="",$J63&lt;=0),"",($I63-$M63)/$J63)</f>
        <v/>
      </c>
      <c r="P63" s="10">
        <f>IF($L63="","",IF($L63&lt;300,"下限未満（対象外）",IF($L63&gt;3000,"上限超（対象外）","範囲内")))</f>
        <v/>
      </c>
      <c r="Q63" s="10">
        <f>IF($A63="","",IFERROR(INDEX(初期検討!$S:$S,MATCH($A63,初期検討!$A:$A,0)),""))</f>
        <v/>
      </c>
      <c r="R63" s="11">
        <f>IF($A63="","",IFERROR(INDEX(初期検討!$T:$T,MATCH($A63,初期検討!$A:$A,0)),""))</f>
        <v/>
      </c>
      <c r="S63" s="14" t="n"/>
      <c r="T63" s="12" t="n"/>
      <c r="U63" s="13" t="n"/>
      <c r="V63" s="13" t="n"/>
      <c r="W63" s="12" t="n"/>
      <c r="X63" s="14" t="n"/>
      <c r="Y63" s="12" t="n"/>
    </row>
    <row r="64">
      <c r="A64" s="14" t="n"/>
      <c r="B64" s="13" t="n"/>
      <c r="C64" s="14" t="n"/>
      <c r="D64" s="14" t="n"/>
      <c r="E64" s="14" t="n"/>
      <c r="F64" s="12" t="n"/>
      <c r="G64" s="14" t="n"/>
      <c r="H64" s="14" t="n"/>
      <c r="I64" s="15" t="n"/>
      <c r="J64" s="15" t="n"/>
      <c r="K64" s="9">
        <f>IF(OR($I64="",$J64="",$M64="",$N64="",$J64&lt;=0),"",($I64-($M64-$N64))/$J64)</f>
        <v/>
      </c>
      <c r="L64" s="15" t="n"/>
      <c r="M64" s="15" t="n"/>
      <c r="N64" s="15" t="n"/>
      <c r="O64" s="9">
        <f>IF(OR($I64="",$J64="",$M64="",$J64&lt;=0),"",($I64-$M64)/$J64)</f>
        <v/>
      </c>
      <c r="P64" s="10">
        <f>IF($L64="","",IF($L64&lt;300,"下限未満（対象外）",IF($L64&gt;3000,"上限超（対象外）","範囲内")))</f>
        <v/>
      </c>
      <c r="Q64" s="10">
        <f>IF($A64="","",IFERROR(INDEX(初期検討!$S:$S,MATCH($A64,初期検討!$A:$A,0)),""))</f>
        <v/>
      </c>
      <c r="R64" s="11">
        <f>IF($A64="","",IFERROR(INDEX(初期検討!$T:$T,MATCH($A64,初期検討!$A:$A,0)),""))</f>
        <v/>
      </c>
      <c r="S64" s="14" t="n"/>
      <c r="T64" s="12" t="n"/>
      <c r="U64" s="13" t="n"/>
      <c r="V64" s="13" t="n"/>
      <c r="W64" s="12" t="n"/>
      <c r="X64" s="14" t="n"/>
      <c r="Y64" s="12" t="n"/>
    </row>
    <row r="65">
      <c r="A65" s="14" t="n"/>
      <c r="B65" s="13" t="n"/>
      <c r="C65" s="14" t="n"/>
      <c r="D65" s="14" t="n"/>
      <c r="E65" s="14" t="n"/>
      <c r="F65" s="12" t="n"/>
      <c r="G65" s="14" t="n"/>
      <c r="H65" s="14" t="n"/>
      <c r="I65" s="15" t="n"/>
      <c r="J65" s="15" t="n"/>
      <c r="K65" s="9">
        <f>IF(OR($I65="",$J65="",$M65="",$N65="",$J65&lt;=0),"",($I65-($M65-$N65))/$J65)</f>
        <v/>
      </c>
      <c r="L65" s="15" t="n"/>
      <c r="M65" s="15" t="n"/>
      <c r="N65" s="15" t="n"/>
      <c r="O65" s="9">
        <f>IF(OR($I65="",$J65="",$M65="",$J65&lt;=0),"",($I65-$M65)/$J65)</f>
        <v/>
      </c>
      <c r="P65" s="10">
        <f>IF($L65="","",IF($L65&lt;300,"下限未満（対象外）",IF($L65&gt;3000,"上限超（対象外）","範囲内")))</f>
        <v/>
      </c>
      <c r="Q65" s="10">
        <f>IF($A65="","",IFERROR(INDEX(初期検討!$S:$S,MATCH($A65,初期検討!$A:$A,0)),""))</f>
        <v/>
      </c>
      <c r="R65" s="11">
        <f>IF($A65="","",IFERROR(INDEX(初期検討!$T:$T,MATCH($A65,初期検討!$A:$A,0)),""))</f>
        <v/>
      </c>
      <c r="S65" s="14" t="n"/>
      <c r="T65" s="12" t="n"/>
      <c r="U65" s="13" t="n"/>
      <c r="V65" s="13" t="n"/>
      <c r="W65" s="12" t="n"/>
      <c r="X65" s="14" t="n"/>
      <c r="Y65" s="12" t="n"/>
    </row>
    <row r="66">
      <c r="A66" s="14" t="n"/>
      <c r="B66" s="13" t="n"/>
      <c r="C66" s="14" t="n"/>
      <c r="D66" s="14" t="n"/>
      <c r="E66" s="14" t="n"/>
      <c r="F66" s="12" t="n"/>
      <c r="G66" s="14" t="n"/>
      <c r="H66" s="14" t="n"/>
      <c r="I66" s="15" t="n"/>
      <c r="J66" s="15" t="n"/>
      <c r="K66" s="9">
        <f>IF(OR($I66="",$J66="",$M66="",$N66="",$J66&lt;=0),"",($I66-($M66-$N66))/$J66)</f>
        <v/>
      </c>
      <c r="L66" s="15" t="n"/>
      <c r="M66" s="15" t="n"/>
      <c r="N66" s="15" t="n"/>
      <c r="O66" s="9">
        <f>IF(OR($I66="",$J66="",$M66="",$J66&lt;=0),"",($I66-$M66)/$J66)</f>
        <v/>
      </c>
      <c r="P66" s="10">
        <f>IF($L66="","",IF($L66&lt;300,"下限未満（対象外）",IF($L66&gt;3000,"上限超（対象外）","範囲内")))</f>
        <v/>
      </c>
      <c r="Q66" s="10">
        <f>IF($A66="","",IFERROR(INDEX(初期検討!$S:$S,MATCH($A66,初期検討!$A:$A,0)),""))</f>
        <v/>
      </c>
      <c r="R66" s="11">
        <f>IF($A66="","",IFERROR(INDEX(初期検討!$T:$T,MATCH($A66,初期検討!$A:$A,0)),""))</f>
        <v/>
      </c>
      <c r="S66" s="14" t="n"/>
      <c r="T66" s="12" t="n"/>
      <c r="U66" s="13" t="n"/>
      <c r="V66" s="13" t="n"/>
      <c r="W66" s="12" t="n"/>
      <c r="X66" s="14" t="n"/>
      <c r="Y66" s="12" t="n"/>
    </row>
    <row r="67">
      <c r="A67" s="14" t="n"/>
      <c r="B67" s="13" t="n"/>
      <c r="C67" s="14" t="n"/>
      <c r="D67" s="14" t="n"/>
      <c r="E67" s="14" t="n"/>
      <c r="F67" s="12" t="n"/>
      <c r="G67" s="14" t="n"/>
      <c r="H67" s="14" t="n"/>
      <c r="I67" s="15" t="n"/>
      <c r="J67" s="15" t="n"/>
      <c r="K67" s="9">
        <f>IF(OR($I67="",$J67="",$M67="",$N67="",$J67&lt;=0),"",($I67-($M67-$N67))/$J67)</f>
        <v/>
      </c>
      <c r="L67" s="15" t="n"/>
      <c r="M67" s="15" t="n"/>
      <c r="N67" s="15" t="n"/>
      <c r="O67" s="9">
        <f>IF(OR($I67="",$J67="",$M67="",$J67&lt;=0),"",($I67-$M67)/$J67)</f>
        <v/>
      </c>
      <c r="P67" s="10">
        <f>IF($L67="","",IF($L67&lt;300,"下限未満（対象外）",IF($L67&gt;3000,"上限超（対象外）","範囲内")))</f>
        <v/>
      </c>
      <c r="Q67" s="10">
        <f>IF($A67="","",IFERROR(INDEX(初期検討!$S:$S,MATCH($A67,初期検討!$A:$A,0)),""))</f>
        <v/>
      </c>
      <c r="R67" s="11">
        <f>IF($A67="","",IFERROR(INDEX(初期検討!$T:$T,MATCH($A67,初期検討!$A:$A,0)),""))</f>
        <v/>
      </c>
      <c r="S67" s="14" t="n"/>
      <c r="T67" s="12" t="n"/>
      <c r="U67" s="13" t="n"/>
      <c r="V67" s="13" t="n"/>
      <c r="W67" s="12" t="n"/>
      <c r="X67" s="14" t="n"/>
      <c r="Y67" s="12" t="n"/>
    </row>
    <row r="68">
      <c r="A68" s="14" t="n"/>
      <c r="B68" s="13" t="n"/>
      <c r="C68" s="14" t="n"/>
      <c r="D68" s="14" t="n"/>
      <c r="E68" s="14" t="n"/>
      <c r="F68" s="12" t="n"/>
      <c r="G68" s="14" t="n"/>
      <c r="H68" s="14" t="n"/>
      <c r="I68" s="15" t="n"/>
      <c r="J68" s="15" t="n"/>
      <c r="K68" s="9">
        <f>IF(OR($I68="",$J68="",$M68="",$N68="",$J68&lt;=0),"",($I68-($M68-$N68))/$J68)</f>
        <v/>
      </c>
      <c r="L68" s="15" t="n"/>
      <c r="M68" s="15" t="n"/>
      <c r="N68" s="15" t="n"/>
      <c r="O68" s="9">
        <f>IF(OR($I68="",$J68="",$M68="",$J68&lt;=0),"",($I68-$M68)/$J68)</f>
        <v/>
      </c>
      <c r="P68" s="10">
        <f>IF($L68="","",IF($L68&lt;300,"下限未満（対象外）",IF($L68&gt;3000,"上限超（対象外）","範囲内")))</f>
        <v/>
      </c>
      <c r="Q68" s="10">
        <f>IF($A68="","",IFERROR(INDEX(初期検討!$S:$S,MATCH($A68,初期検討!$A:$A,0)),""))</f>
        <v/>
      </c>
      <c r="R68" s="11">
        <f>IF($A68="","",IFERROR(INDEX(初期検討!$T:$T,MATCH($A68,初期検討!$A:$A,0)),""))</f>
        <v/>
      </c>
      <c r="S68" s="14" t="n"/>
      <c r="T68" s="12" t="n"/>
      <c r="U68" s="13" t="n"/>
      <c r="V68" s="13" t="n"/>
      <c r="W68" s="12" t="n"/>
      <c r="X68" s="14" t="n"/>
      <c r="Y68" s="12" t="n"/>
    </row>
    <row r="69">
      <c r="A69" s="14" t="n"/>
      <c r="B69" s="13" t="n"/>
      <c r="C69" s="14" t="n"/>
      <c r="D69" s="14" t="n"/>
      <c r="E69" s="14" t="n"/>
      <c r="F69" s="12" t="n"/>
      <c r="G69" s="14" t="n"/>
      <c r="H69" s="14" t="n"/>
      <c r="I69" s="15" t="n"/>
      <c r="J69" s="15" t="n"/>
      <c r="K69" s="9">
        <f>IF(OR($I69="",$J69="",$M69="",$N69="",$J69&lt;=0),"",($I69-($M69-$N69))/$J69)</f>
        <v/>
      </c>
      <c r="L69" s="15" t="n"/>
      <c r="M69" s="15" t="n"/>
      <c r="N69" s="15" t="n"/>
      <c r="O69" s="9">
        <f>IF(OR($I69="",$J69="",$M69="",$J69&lt;=0),"",($I69-$M69)/$J69)</f>
        <v/>
      </c>
      <c r="P69" s="10">
        <f>IF($L69="","",IF($L69&lt;300,"下限未満（対象外）",IF($L69&gt;3000,"上限超（対象外）","範囲内")))</f>
        <v/>
      </c>
      <c r="Q69" s="10">
        <f>IF($A69="","",IFERROR(INDEX(初期検討!$S:$S,MATCH($A69,初期検討!$A:$A,0)),""))</f>
        <v/>
      </c>
      <c r="R69" s="11">
        <f>IF($A69="","",IFERROR(INDEX(初期検討!$T:$T,MATCH($A69,初期検討!$A:$A,0)),""))</f>
        <v/>
      </c>
      <c r="S69" s="14" t="n"/>
      <c r="T69" s="12" t="n"/>
      <c r="U69" s="13" t="n"/>
      <c r="V69" s="13" t="n"/>
      <c r="W69" s="12" t="n"/>
      <c r="X69" s="14" t="n"/>
      <c r="Y69" s="12" t="n"/>
    </row>
    <row r="70">
      <c r="A70" s="14" t="n"/>
      <c r="B70" s="13" t="n"/>
      <c r="C70" s="14" t="n"/>
      <c r="D70" s="14" t="n"/>
      <c r="E70" s="14" t="n"/>
      <c r="F70" s="12" t="n"/>
      <c r="G70" s="14" t="n"/>
      <c r="H70" s="14" t="n"/>
      <c r="I70" s="15" t="n"/>
      <c r="J70" s="15" t="n"/>
      <c r="K70" s="9">
        <f>IF(OR($I70="",$J70="",$M70="",$N70="",$J70&lt;=0),"",($I70-($M70-$N70))/$J70)</f>
        <v/>
      </c>
      <c r="L70" s="15" t="n"/>
      <c r="M70" s="15" t="n"/>
      <c r="N70" s="15" t="n"/>
      <c r="O70" s="9">
        <f>IF(OR($I70="",$J70="",$M70="",$J70&lt;=0),"",($I70-$M70)/$J70)</f>
        <v/>
      </c>
      <c r="P70" s="10">
        <f>IF($L70="","",IF($L70&lt;300,"下限未満（対象外）",IF($L70&gt;3000,"上限超（対象外）","範囲内")))</f>
        <v/>
      </c>
      <c r="Q70" s="10">
        <f>IF($A70="","",IFERROR(INDEX(初期検討!$S:$S,MATCH($A70,初期検討!$A:$A,0)),""))</f>
        <v/>
      </c>
      <c r="R70" s="11">
        <f>IF($A70="","",IFERROR(INDEX(初期検討!$T:$T,MATCH($A70,初期検討!$A:$A,0)),""))</f>
        <v/>
      </c>
      <c r="S70" s="14" t="n"/>
      <c r="T70" s="12" t="n"/>
      <c r="U70" s="13" t="n"/>
      <c r="V70" s="13" t="n"/>
      <c r="W70" s="12" t="n"/>
      <c r="X70" s="14" t="n"/>
      <c r="Y70" s="12" t="n"/>
    </row>
    <row r="71">
      <c r="A71" s="14" t="n"/>
      <c r="B71" s="13" t="n"/>
      <c r="C71" s="14" t="n"/>
      <c r="D71" s="14" t="n"/>
      <c r="E71" s="14" t="n"/>
      <c r="F71" s="12" t="n"/>
      <c r="G71" s="14" t="n"/>
      <c r="H71" s="14" t="n"/>
      <c r="I71" s="15" t="n"/>
      <c r="J71" s="15" t="n"/>
      <c r="K71" s="9">
        <f>IF(OR($I71="",$J71="",$M71="",$N71="",$J71&lt;=0),"",($I71-($M71-$N71))/$J71)</f>
        <v/>
      </c>
      <c r="L71" s="15" t="n"/>
      <c r="M71" s="15" t="n"/>
      <c r="N71" s="15" t="n"/>
      <c r="O71" s="9">
        <f>IF(OR($I71="",$J71="",$M71="",$J71&lt;=0),"",($I71-$M71)/$J71)</f>
        <v/>
      </c>
      <c r="P71" s="10">
        <f>IF($L71="","",IF($L71&lt;300,"下限未満（対象外）",IF($L71&gt;3000,"上限超（対象外）","範囲内")))</f>
        <v/>
      </c>
      <c r="Q71" s="10">
        <f>IF($A71="","",IFERROR(INDEX(初期検討!$S:$S,MATCH($A71,初期検討!$A:$A,0)),""))</f>
        <v/>
      </c>
      <c r="R71" s="11">
        <f>IF($A71="","",IFERROR(INDEX(初期検討!$T:$T,MATCH($A71,初期検討!$A:$A,0)),""))</f>
        <v/>
      </c>
      <c r="S71" s="14" t="n"/>
      <c r="T71" s="12" t="n"/>
      <c r="U71" s="13" t="n"/>
      <c r="V71" s="13" t="n"/>
      <c r="W71" s="12" t="n"/>
      <c r="X71" s="14" t="n"/>
      <c r="Y71" s="12" t="n"/>
    </row>
    <row r="72">
      <c r="A72" s="14" t="n"/>
      <c r="B72" s="13" t="n"/>
      <c r="C72" s="14" t="n"/>
      <c r="D72" s="14" t="n"/>
      <c r="E72" s="14" t="n"/>
      <c r="F72" s="12" t="n"/>
      <c r="G72" s="14" t="n"/>
      <c r="H72" s="14" t="n"/>
      <c r="I72" s="15" t="n"/>
      <c r="J72" s="15" t="n"/>
      <c r="K72" s="9">
        <f>IF(OR($I72="",$J72="",$M72="",$N72="",$J72&lt;=0),"",($I72-($M72-$N72))/$J72)</f>
        <v/>
      </c>
      <c r="L72" s="15" t="n"/>
      <c r="M72" s="15" t="n"/>
      <c r="N72" s="15" t="n"/>
      <c r="O72" s="9">
        <f>IF(OR($I72="",$J72="",$M72="",$J72&lt;=0),"",($I72-$M72)/$J72)</f>
        <v/>
      </c>
      <c r="P72" s="10">
        <f>IF($L72="","",IF($L72&lt;300,"下限未満（対象外）",IF($L72&gt;3000,"上限超（対象外）","範囲内")))</f>
        <v/>
      </c>
      <c r="Q72" s="10">
        <f>IF($A72="","",IFERROR(INDEX(初期検討!$S:$S,MATCH($A72,初期検討!$A:$A,0)),""))</f>
        <v/>
      </c>
      <c r="R72" s="11">
        <f>IF($A72="","",IFERROR(INDEX(初期検討!$T:$T,MATCH($A72,初期検討!$A:$A,0)),""))</f>
        <v/>
      </c>
      <c r="S72" s="14" t="n"/>
      <c r="T72" s="12" t="n"/>
      <c r="U72" s="13" t="n"/>
      <c r="V72" s="13" t="n"/>
      <c r="W72" s="12" t="n"/>
      <c r="X72" s="14" t="n"/>
      <c r="Y72" s="12" t="n"/>
    </row>
    <row r="73">
      <c r="A73" s="14" t="n"/>
      <c r="B73" s="13" t="n"/>
      <c r="C73" s="14" t="n"/>
      <c r="D73" s="14" t="n"/>
      <c r="E73" s="14" t="n"/>
      <c r="F73" s="12" t="n"/>
      <c r="G73" s="14" t="n"/>
      <c r="H73" s="14" t="n"/>
      <c r="I73" s="15" t="n"/>
      <c r="J73" s="15" t="n"/>
      <c r="K73" s="9">
        <f>IF(OR($I73="",$J73="",$M73="",$N73="",$J73&lt;=0),"",($I73-($M73-$N73))/$J73)</f>
        <v/>
      </c>
      <c r="L73" s="15" t="n"/>
      <c r="M73" s="15" t="n"/>
      <c r="N73" s="15" t="n"/>
      <c r="O73" s="9">
        <f>IF(OR($I73="",$J73="",$M73="",$J73&lt;=0),"",($I73-$M73)/$J73)</f>
        <v/>
      </c>
      <c r="P73" s="10">
        <f>IF($L73="","",IF($L73&lt;300,"下限未満（対象外）",IF($L73&gt;3000,"上限超（対象外）","範囲内")))</f>
        <v/>
      </c>
      <c r="Q73" s="10">
        <f>IF($A73="","",IFERROR(INDEX(初期検討!$S:$S,MATCH($A73,初期検討!$A:$A,0)),""))</f>
        <v/>
      </c>
      <c r="R73" s="11">
        <f>IF($A73="","",IFERROR(INDEX(初期検討!$T:$T,MATCH($A73,初期検討!$A:$A,0)),""))</f>
        <v/>
      </c>
      <c r="S73" s="14" t="n"/>
      <c r="T73" s="12" t="n"/>
      <c r="U73" s="13" t="n"/>
      <c r="V73" s="13" t="n"/>
      <c r="W73" s="12" t="n"/>
      <c r="X73" s="14" t="n"/>
      <c r="Y73" s="12" t="n"/>
    </row>
    <row r="74">
      <c r="A74" s="14" t="n"/>
      <c r="B74" s="13" t="n"/>
      <c r="C74" s="14" t="n"/>
      <c r="D74" s="14" t="n"/>
      <c r="E74" s="14" t="n"/>
      <c r="F74" s="12" t="n"/>
      <c r="G74" s="14" t="n"/>
      <c r="H74" s="14" t="n"/>
      <c r="I74" s="15" t="n"/>
      <c r="J74" s="15" t="n"/>
      <c r="K74" s="9">
        <f>IF(OR($I74="",$J74="",$M74="",$N74="",$J74&lt;=0),"",($I74-($M74-$N74))/$J74)</f>
        <v/>
      </c>
      <c r="L74" s="15" t="n"/>
      <c r="M74" s="15" t="n"/>
      <c r="N74" s="15" t="n"/>
      <c r="O74" s="9">
        <f>IF(OR($I74="",$J74="",$M74="",$J74&lt;=0),"",($I74-$M74)/$J74)</f>
        <v/>
      </c>
      <c r="P74" s="10">
        <f>IF($L74="","",IF($L74&lt;300,"下限未満（対象外）",IF($L74&gt;3000,"上限超（対象外）","範囲内")))</f>
        <v/>
      </c>
      <c r="Q74" s="10">
        <f>IF($A74="","",IFERROR(INDEX(初期検討!$S:$S,MATCH($A74,初期検討!$A:$A,0)),""))</f>
        <v/>
      </c>
      <c r="R74" s="11">
        <f>IF($A74="","",IFERROR(INDEX(初期検討!$T:$T,MATCH($A74,初期検討!$A:$A,0)),""))</f>
        <v/>
      </c>
      <c r="S74" s="14" t="n"/>
      <c r="T74" s="12" t="n"/>
      <c r="U74" s="13" t="n"/>
      <c r="V74" s="13" t="n"/>
      <c r="W74" s="12" t="n"/>
      <c r="X74" s="14" t="n"/>
      <c r="Y74" s="12" t="n"/>
    </row>
    <row r="75">
      <c r="A75" s="14" t="n"/>
      <c r="B75" s="13" t="n"/>
      <c r="C75" s="14" t="n"/>
      <c r="D75" s="14" t="n"/>
      <c r="E75" s="14" t="n"/>
      <c r="F75" s="12" t="n"/>
      <c r="G75" s="14" t="n"/>
      <c r="H75" s="14" t="n"/>
      <c r="I75" s="15" t="n"/>
      <c r="J75" s="15" t="n"/>
      <c r="K75" s="9">
        <f>IF(OR($I75="",$J75="",$M75="",$N75="",$J75&lt;=0),"",($I75-($M75-$N75))/$J75)</f>
        <v/>
      </c>
      <c r="L75" s="15" t="n"/>
      <c r="M75" s="15" t="n"/>
      <c r="N75" s="15" t="n"/>
      <c r="O75" s="9">
        <f>IF(OR($I75="",$J75="",$M75="",$J75&lt;=0),"",($I75-$M75)/$J75)</f>
        <v/>
      </c>
      <c r="P75" s="10">
        <f>IF($L75="","",IF($L75&lt;300,"下限未満（対象外）",IF($L75&gt;3000,"上限超（対象外）","範囲内")))</f>
        <v/>
      </c>
      <c r="Q75" s="10">
        <f>IF($A75="","",IFERROR(INDEX(初期検討!$S:$S,MATCH($A75,初期検討!$A:$A,0)),""))</f>
        <v/>
      </c>
      <c r="R75" s="11">
        <f>IF($A75="","",IFERROR(INDEX(初期検討!$T:$T,MATCH($A75,初期検討!$A:$A,0)),""))</f>
        <v/>
      </c>
      <c r="S75" s="14" t="n"/>
      <c r="T75" s="12" t="n"/>
      <c r="U75" s="13" t="n"/>
      <c r="V75" s="13" t="n"/>
      <c r="W75" s="12" t="n"/>
      <c r="X75" s="14" t="n"/>
      <c r="Y75" s="12" t="n"/>
    </row>
    <row r="76">
      <c r="A76" s="14" t="n"/>
      <c r="B76" s="13" t="n"/>
      <c r="C76" s="14" t="n"/>
      <c r="D76" s="14" t="n"/>
      <c r="E76" s="14" t="n"/>
      <c r="F76" s="12" t="n"/>
      <c r="G76" s="14" t="n"/>
      <c r="H76" s="14" t="n"/>
      <c r="I76" s="15" t="n"/>
      <c r="J76" s="15" t="n"/>
      <c r="K76" s="9">
        <f>IF(OR($I76="",$J76="",$M76="",$N76="",$J76&lt;=0),"",($I76-($M76-$N76))/$J76)</f>
        <v/>
      </c>
      <c r="L76" s="15" t="n"/>
      <c r="M76" s="15" t="n"/>
      <c r="N76" s="15" t="n"/>
      <c r="O76" s="9">
        <f>IF(OR($I76="",$J76="",$M76="",$J76&lt;=0),"",($I76-$M76)/$J76)</f>
        <v/>
      </c>
      <c r="P76" s="10">
        <f>IF($L76="","",IF($L76&lt;300,"下限未満（対象外）",IF($L76&gt;3000,"上限超（対象外）","範囲内")))</f>
        <v/>
      </c>
      <c r="Q76" s="10">
        <f>IF($A76="","",IFERROR(INDEX(初期検討!$S:$S,MATCH($A76,初期検討!$A:$A,0)),""))</f>
        <v/>
      </c>
      <c r="R76" s="11">
        <f>IF($A76="","",IFERROR(INDEX(初期検討!$T:$T,MATCH($A76,初期検討!$A:$A,0)),""))</f>
        <v/>
      </c>
      <c r="S76" s="14" t="n"/>
      <c r="T76" s="12" t="n"/>
      <c r="U76" s="13" t="n"/>
      <c r="V76" s="13" t="n"/>
      <c r="W76" s="12" t="n"/>
      <c r="X76" s="14" t="n"/>
      <c r="Y76" s="12" t="n"/>
    </row>
    <row r="77">
      <c r="A77" s="14" t="n"/>
      <c r="B77" s="13" t="n"/>
      <c r="C77" s="14" t="n"/>
      <c r="D77" s="14" t="n"/>
      <c r="E77" s="14" t="n"/>
      <c r="F77" s="12" t="n"/>
      <c r="G77" s="14" t="n"/>
      <c r="H77" s="14" t="n"/>
      <c r="I77" s="15" t="n"/>
      <c r="J77" s="15" t="n"/>
      <c r="K77" s="9">
        <f>IF(OR($I77="",$J77="",$M77="",$N77="",$J77&lt;=0),"",($I77-($M77-$N77))/$J77)</f>
        <v/>
      </c>
      <c r="L77" s="15" t="n"/>
      <c r="M77" s="15" t="n"/>
      <c r="N77" s="15" t="n"/>
      <c r="O77" s="9">
        <f>IF(OR($I77="",$J77="",$M77="",$J77&lt;=0),"",($I77-$M77)/$J77)</f>
        <v/>
      </c>
      <c r="P77" s="10">
        <f>IF($L77="","",IF($L77&lt;300,"下限未満（対象外）",IF($L77&gt;3000,"上限超（対象外）","範囲内")))</f>
        <v/>
      </c>
      <c r="Q77" s="10">
        <f>IF($A77="","",IFERROR(INDEX(初期検討!$S:$S,MATCH($A77,初期検討!$A:$A,0)),""))</f>
        <v/>
      </c>
      <c r="R77" s="11">
        <f>IF($A77="","",IFERROR(INDEX(初期検討!$T:$T,MATCH($A77,初期検討!$A:$A,0)),""))</f>
        <v/>
      </c>
      <c r="S77" s="14" t="n"/>
      <c r="T77" s="12" t="n"/>
      <c r="U77" s="13" t="n"/>
      <c r="V77" s="13" t="n"/>
      <c r="W77" s="12" t="n"/>
      <c r="X77" s="14" t="n"/>
      <c r="Y77" s="12" t="n"/>
    </row>
    <row r="78">
      <c r="A78" s="14" t="n"/>
      <c r="B78" s="13" t="n"/>
      <c r="C78" s="14" t="n"/>
      <c r="D78" s="14" t="n"/>
      <c r="E78" s="14" t="n"/>
      <c r="F78" s="12" t="n"/>
      <c r="G78" s="14" t="n"/>
      <c r="H78" s="14" t="n"/>
      <c r="I78" s="15" t="n"/>
      <c r="J78" s="15" t="n"/>
      <c r="K78" s="9">
        <f>IF(OR($I78="",$J78="",$M78="",$N78="",$J78&lt;=0),"",($I78-($M78-$N78))/$J78)</f>
        <v/>
      </c>
      <c r="L78" s="15" t="n"/>
      <c r="M78" s="15" t="n"/>
      <c r="N78" s="15" t="n"/>
      <c r="O78" s="9">
        <f>IF(OR($I78="",$J78="",$M78="",$J78&lt;=0),"",($I78-$M78)/$J78)</f>
        <v/>
      </c>
      <c r="P78" s="10">
        <f>IF($L78="","",IF($L78&lt;300,"下限未満（対象外）",IF($L78&gt;3000,"上限超（対象外）","範囲内")))</f>
        <v/>
      </c>
      <c r="Q78" s="10">
        <f>IF($A78="","",IFERROR(INDEX(初期検討!$S:$S,MATCH($A78,初期検討!$A:$A,0)),""))</f>
        <v/>
      </c>
      <c r="R78" s="11">
        <f>IF($A78="","",IFERROR(INDEX(初期検討!$T:$T,MATCH($A78,初期検討!$A:$A,0)),""))</f>
        <v/>
      </c>
      <c r="S78" s="14" t="n"/>
      <c r="T78" s="12" t="n"/>
      <c r="U78" s="13" t="n"/>
      <c r="V78" s="13" t="n"/>
      <c r="W78" s="12" t="n"/>
      <c r="X78" s="14" t="n"/>
      <c r="Y78" s="12" t="n"/>
    </row>
    <row r="79">
      <c r="A79" s="14" t="n"/>
      <c r="B79" s="13" t="n"/>
      <c r="C79" s="14" t="n"/>
      <c r="D79" s="14" t="n"/>
      <c r="E79" s="14" t="n"/>
      <c r="F79" s="12" t="n"/>
      <c r="G79" s="14" t="n"/>
      <c r="H79" s="14" t="n"/>
      <c r="I79" s="15" t="n"/>
      <c r="J79" s="15" t="n"/>
      <c r="K79" s="9">
        <f>IF(OR($I79="",$J79="",$M79="",$N79="",$J79&lt;=0),"",($I79-($M79-$N79))/$J79)</f>
        <v/>
      </c>
      <c r="L79" s="15" t="n"/>
      <c r="M79" s="15" t="n"/>
      <c r="N79" s="15" t="n"/>
      <c r="O79" s="9">
        <f>IF(OR($I79="",$J79="",$M79="",$J79&lt;=0),"",($I79-$M79)/$J79)</f>
        <v/>
      </c>
      <c r="P79" s="10">
        <f>IF($L79="","",IF($L79&lt;300,"下限未満（対象外）",IF($L79&gt;3000,"上限超（対象外）","範囲内")))</f>
        <v/>
      </c>
      <c r="Q79" s="10">
        <f>IF($A79="","",IFERROR(INDEX(初期検討!$S:$S,MATCH($A79,初期検討!$A:$A,0)),""))</f>
        <v/>
      </c>
      <c r="R79" s="11">
        <f>IF($A79="","",IFERROR(INDEX(初期検討!$T:$T,MATCH($A79,初期検討!$A:$A,0)),""))</f>
        <v/>
      </c>
      <c r="S79" s="14" t="n"/>
      <c r="T79" s="12" t="n"/>
      <c r="U79" s="13" t="n"/>
      <c r="V79" s="13" t="n"/>
      <c r="W79" s="12" t="n"/>
      <c r="X79" s="14" t="n"/>
      <c r="Y79" s="12" t="n"/>
    </row>
    <row r="80">
      <c r="A80" s="14" t="n"/>
      <c r="B80" s="13" t="n"/>
      <c r="C80" s="14" t="n"/>
      <c r="D80" s="14" t="n"/>
      <c r="E80" s="14" t="n"/>
      <c r="F80" s="12" t="n"/>
      <c r="G80" s="14" t="n"/>
      <c r="H80" s="14" t="n"/>
      <c r="I80" s="15" t="n"/>
      <c r="J80" s="15" t="n"/>
      <c r="K80" s="9">
        <f>IF(OR($I80="",$J80="",$M80="",$N80="",$J80&lt;=0),"",($I80-($M80-$N80))/$J80)</f>
        <v/>
      </c>
      <c r="L80" s="15" t="n"/>
      <c r="M80" s="15" t="n"/>
      <c r="N80" s="15" t="n"/>
      <c r="O80" s="9">
        <f>IF(OR($I80="",$J80="",$M80="",$J80&lt;=0),"",($I80-$M80)/$J80)</f>
        <v/>
      </c>
      <c r="P80" s="10">
        <f>IF($L80="","",IF($L80&lt;300,"下限未満（対象外）",IF($L80&gt;3000,"上限超（対象外）","範囲内")))</f>
        <v/>
      </c>
      <c r="Q80" s="10">
        <f>IF($A80="","",IFERROR(INDEX(初期検討!$S:$S,MATCH($A80,初期検討!$A:$A,0)),""))</f>
        <v/>
      </c>
      <c r="R80" s="11">
        <f>IF($A80="","",IFERROR(INDEX(初期検討!$T:$T,MATCH($A80,初期検討!$A:$A,0)),""))</f>
        <v/>
      </c>
      <c r="S80" s="14" t="n"/>
      <c r="T80" s="12" t="n"/>
      <c r="U80" s="13" t="n"/>
      <c r="V80" s="13" t="n"/>
      <c r="W80" s="12" t="n"/>
      <c r="X80" s="14" t="n"/>
      <c r="Y80" s="12" t="n"/>
    </row>
    <row r="81">
      <c r="A81" s="14" t="n"/>
      <c r="B81" s="13" t="n"/>
      <c r="C81" s="14" t="n"/>
      <c r="D81" s="14" t="n"/>
      <c r="E81" s="14" t="n"/>
      <c r="F81" s="12" t="n"/>
      <c r="G81" s="14" t="n"/>
      <c r="H81" s="14" t="n"/>
      <c r="I81" s="15" t="n"/>
      <c r="J81" s="15" t="n"/>
      <c r="K81" s="9">
        <f>IF(OR($I81="",$J81="",$M81="",$N81="",$J81&lt;=0),"",($I81-($M81-$N81))/$J81)</f>
        <v/>
      </c>
      <c r="L81" s="15" t="n"/>
      <c r="M81" s="15" t="n"/>
      <c r="N81" s="15" t="n"/>
      <c r="O81" s="9">
        <f>IF(OR($I81="",$J81="",$M81="",$J81&lt;=0),"",($I81-$M81)/$J81)</f>
        <v/>
      </c>
      <c r="P81" s="10">
        <f>IF($L81="","",IF($L81&lt;300,"下限未満（対象外）",IF($L81&gt;3000,"上限超（対象外）","範囲内")))</f>
        <v/>
      </c>
      <c r="Q81" s="10">
        <f>IF($A81="","",IFERROR(INDEX(初期検討!$S:$S,MATCH($A81,初期検討!$A:$A,0)),""))</f>
        <v/>
      </c>
      <c r="R81" s="11">
        <f>IF($A81="","",IFERROR(INDEX(初期検討!$T:$T,MATCH($A81,初期検討!$A:$A,0)),""))</f>
        <v/>
      </c>
      <c r="S81" s="14" t="n"/>
      <c r="T81" s="12" t="n"/>
      <c r="U81" s="13" t="n"/>
      <c r="V81" s="13" t="n"/>
      <c r="W81" s="12" t="n"/>
      <c r="X81" s="14" t="n"/>
      <c r="Y81" s="12" t="n"/>
    </row>
    <row r="82">
      <c r="A82" s="14" t="n"/>
      <c r="B82" s="13" t="n"/>
      <c r="C82" s="14" t="n"/>
      <c r="D82" s="14" t="n"/>
      <c r="E82" s="14" t="n"/>
      <c r="F82" s="12" t="n"/>
      <c r="G82" s="14" t="n"/>
      <c r="H82" s="14" t="n"/>
      <c r="I82" s="15" t="n"/>
      <c r="J82" s="15" t="n"/>
      <c r="K82" s="9">
        <f>IF(OR($I82="",$J82="",$M82="",$N82="",$J82&lt;=0),"",($I82-($M82-$N82))/$J82)</f>
        <v/>
      </c>
      <c r="L82" s="15" t="n"/>
      <c r="M82" s="15" t="n"/>
      <c r="N82" s="15" t="n"/>
      <c r="O82" s="9">
        <f>IF(OR($I82="",$J82="",$M82="",$J82&lt;=0),"",($I82-$M82)/$J82)</f>
        <v/>
      </c>
      <c r="P82" s="10">
        <f>IF($L82="","",IF($L82&lt;300,"下限未満（対象外）",IF($L82&gt;3000,"上限超（対象外）","範囲内")))</f>
        <v/>
      </c>
      <c r="Q82" s="10">
        <f>IF($A82="","",IFERROR(INDEX(初期検討!$S:$S,MATCH($A82,初期検討!$A:$A,0)),""))</f>
        <v/>
      </c>
      <c r="R82" s="11">
        <f>IF($A82="","",IFERROR(INDEX(初期検討!$T:$T,MATCH($A82,初期検討!$A:$A,0)),""))</f>
        <v/>
      </c>
      <c r="S82" s="14" t="n"/>
      <c r="T82" s="12" t="n"/>
      <c r="U82" s="13" t="n"/>
      <c r="V82" s="13" t="n"/>
      <c r="W82" s="12" t="n"/>
      <c r="X82" s="14" t="n"/>
      <c r="Y82" s="12" t="n"/>
    </row>
    <row r="83">
      <c r="A83" s="14" t="n"/>
      <c r="B83" s="13" t="n"/>
      <c r="C83" s="14" t="n"/>
      <c r="D83" s="14" t="n"/>
      <c r="E83" s="14" t="n"/>
      <c r="F83" s="12" t="n"/>
      <c r="G83" s="14" t="n"/>
      <c r="H83" s="14" t="n"/>
      <c r="I83" s="15" t="n"/>
      <c r="J83" s="15" t="n"/>
      <c r="K83" s="9">
        <f>IF(OR($I83="",$J83="",$M83="",$N83="",$J83&lt;=0),"",($I83-($M83-$N83))/$J83)</f>
        <v/>
      </c>
      <c r="L83" s="15" t="n"/>
      <c r="M83" s="15" t="n"/>
      <c r="N83" s="15" t="n"/>
      <c r="O83" s="9">
        <f>IF(OR($I83="",$J83="",$M83="",$J83&lt;=0),"",($I83-$M83)/$J83)</f>
        <v/>
      </c>
      <c r="P83" s="10">
        <f>IF($L83="","",IF($L83&lt;300,"下限未満（対象外）",IF($L83&gt;3000,"上限超（対象外）","範囲内")))</f>
        <v/>
      </c>
      <c r="Q83" s="10">
        <f>IF($A83="","",IFERROR(INDEX(初期検討!$S:$S,MATCH($A83,初期検討!$A:$A,0)),""))</f>
        <v/>
      </c>
      <c r="R83" s="11">
        <f>IF($A83="","",IFERROR(INDEX(初期検討!$T:$T,MATCH($A83,初期検討!$A:$A,0)),""))</f>
        <v/>
      </c>
      <c r="S83" s="14" t="n"/>
      <c r="T83" s="12" t="n"/>
      <c r="U83" s="13" t="n"/>
      <c r="V83" s="13" t="n"/>
      <c r="W83" s="12" t="n"/>
      <c r="X83" s="14" t="n"/>
      <c r="Y83" s="12" t="n"/>
    </row>
    <row r="84">
      <c r="A84" s="14" t="n"/>
      <c r="B84" s="13" t="n"/>
      <c r="C84" s="14" t="n"/>
      <c r="D84" s="14" t="n"/>
      <c r="E84" s="14" t="n"/>
      <c r="F84" s="12" t="n"/>
      <c r="G84" s="14" t="n"/>
      <c r="H84" s="14" t="n"/>
      <c r="I84" s="15" t="n"/>
      <c r="J84" s="15" t="n"/>
      <c r="K84" s="9">
        <f>IF(OR($I84="",$J84="",$M84="",$N84="",$J84&lt;=0),"",($I84-($M84-$N84))/$J84)</f>
        <v/>
      </c>
      <c r="L84" s="15" t="n"/>
      <c r="M84" s="15" t="n"/>
      <c r="N84" s="15" t="n"/>
      <c r="O84" s="9">
        <f>IF(OR($I84="",$J84="",$M84="",$J84&lt;=0),"",($I84-$M84)/$J84)</f>
        <v/>
      </c>
      <c r="P84" s="10">
        <f>IF($L84="","",IF($L84&lt;300,"下限未満（対象外）",IF($L84&gt;3000,"上限超（対象外）","範囲内")))</f>
        <v/>
      </c>
      <c r="Q84" s="10">
        <f>IF($A84="","",IFERROR(INDEX(初期検討!$S:$S,MATCH($A84,初期検討!$A:$A,0)),""))</f>
        <v/>
      </c>
      <c r="R84" s="11">
        <f>IF($A84="","",IFERROR(INDEX(初期検討!$T:$T,MATCH($A84,初期検討!$A:$A,0)),""))</f>
        <v/>
      </c>
      <c r="S84" s="14" t="n"/>
      <c r="T84" s="12" t="n"/>
      <c r="U84" s="13" t="n"/>
      <c r="V84" s="13" t="n"/>
      <c r="W84" s="12" t="n"/>
      <c r="X84" s="14" t="n"/>
      <c r="Y84" s="12" t="n"/>
    </row>
    <row r="85">
      <c r="A85" s="14" t="n"/>
      <c r="B85" s="13" t="n"/>
      <c r="C85" s="14" t="n"/>
      <c r="D85" s="14" t="n"/>
      <c r="E85" s="14" t="n"/>
      <c r="F85" s="12" t="n"/>
      <c r="G85" s="14" t="n"/>
      <c r="H85" s="14" t="n"/>
      <c r="I85" s="15" t="n"/>
      <c r="J85" s="15" t="n"/>
      <c r="K85" s="9">
        <f>IF(OR($I85="",$J85="",$M85="",$N85="",$J85&lt;=0),"",($I85-($M85-$N85))/$J85)</f>
        <v/>
      </c>
      <c r="L85" s="15" t="n"/>
      <c r="M85" s="15" t="n"/>
      <c r="N85" s="15" t="n"/>
      <c r="O85" s="9">
        <f>IF(OR($I85="",$J85="",$M85="",$J85&lt;=0),"",($I85-$M85)/$J85)</f>
        <v/>
      </c>
      <c r="P85" s="10">
        <f>IF($L85="","",IF($L85&lt;300,"下限未満（対象外）",IF($L85&gt;3000,"上限超（対象外）","範囲内")))</f>
        <v/>
      </c>
      <c r="Q85" s="10">
        <f>IF($A85="","",IFERROR(INDEX(初期検討!$S:$S,MATCH($A85,初期検討!$A:$A,0)),""))</f>
        <v/>
      </c>
      <c r="R85" s="11">
        <f>IF($A85="","",IFERROR(INDEX(初期検討!$T:$T,MATCH($A85,初期検討!$A:$A,0)),""))</f>
        <v/>
      </c>
      <c r="S85" s="14" t="n"/>
      <c r="T85" s="12" t="n"/>
      <c r="U85" s="13" t="n"/>
      <c r="V85" s="13" t="n"/>
      <c r="W85" s="12" t="n"/>
      <c r="X85" s="14" t="n"/>
      <c r="Y85" s="12" t="n"/>
    </row>
    <row r="86">
      <c r="A86" s="14" t="n"/>
      <c r="B86" s="13" t="n"/>
      <c r="C86" s="14" t="n"/>
      <c r="D86" s="14" t="n"/>
      <c r="E86" s="14" t="n"/>
      <c r="F86" s="12" t="n"/>
      <c r="G86" s="14" t="n"/>
      <c r="H86" s="14" t="n"/>
      <c r="I86" s="15" t="n"/>
      <c r="J86" s="15" t="n"/>
      <c r="K86" s="9">
        <f>IF(OR($I86="",$J86="",$M86="",$N86="",$J86&lt;=0),"",($I86-($M86-$N86))/$J86)</f>
        <v/>
      </c>
      <c r="L86" s="15" t="n"/>
      <c r="M86" s="15" t="n"/>
      <c r="N86" s="15" t="n"/>
      <c r="O86" s="9">
        <f>IF(OR($I86="",$J86="",$M86="",$J86&lt;=0),"",($I86-$M86)/$J86)</f>
        <v/>
      </c>
      <c r="P86" s="10">
        <f>IF($L86="","",IF($L86&lt;300,"下限未満（対象外）",IF($L86&gt;3000,"上限超（対象外）","範囲内")))</f>
        <v/>
      </c>
      <c r="Q86" s="10">
        <f>IF($A86="","",IFERROR(INDEX(初期検討!$S:$S,MATCH($A86,初期検討!$A:$A,0)),""))</f>
        <v/>
      </c>
      <c r="R86" s="11">
        <f>IF($A86="","",IFERROR(INDEX(初期検討!$T:$T,MATCH($A86,初期検討!$A:$A,0)),""))</f>
        <v/>
      </c>
      <c r="S86" s="14" t="n"/>
      <c r="T86" s="12" t="n"/>
      <c r="U86" s="13" t="n"/>
      <c r="V86" s="13" t="n"/>
      <c r="W86" s="12" t="n"/>
      <c r="X86" s="14" t="n"/>
      <c r="Y86" s="12" t="n"/>
    </row>
    <row r="87">
      <c r="A87" s="14" t="n"/>
      <c r="B87" s="13" t="n"/>
      <c r="C87" s="14" t="n"/>
      <c r="D87" s="14" t="n"/>
      <c r="E87" s="14" t="n"/>
      <c r="F87" s="12" t="n"/>
      <c r="G87" s="14" t="n"/>
      <c r="H87" s="14" t="n"/>
      <c r="I87" s="15" t="n"/>
      <c r="J87" s="15" t="n"/>
      <c r="K87" s="9">
        <f>IF(OR($I87="",$J87="",$M87="",$N87="",$J87&lt;=0),"",($I87-($M87-$N87))/$J87)</f>
        <v/>
      </c>
      <c r="L87" s="15" t="n"/>
      <c r="M87" s="15" t="n"/>
      <c r="N87" s="15" t="n"/>
      <c r="O87" s="9">
        <f>IF(OR($I87="",$J87="",$M87="",$J87&lt;=0),"",($I87-$M87)/$J87)</f>
        <v/>
      </c>
      <c r="P87" s="10">
        <f>IF($L87="","",IF($L87&lt;300,"下限未満（対象外）",IF($L87&gt;3000,"上限超（対象外）","範囲内")))</f>
        <v/>
      </c>
      <c r="Q87" s="10">
        <f>IF($A87="","",IFERROR(INDEX(初期検討!$S:$S,MATCH($A87,初期検討!$A:$A,0)),""))</f>
        <v/>
      </c>
      <c r="R87" s="11">
        <f>IF($A87="","",IFERROR(INDEX(初期検討!$T:$T,MATCH($A87,初期検討!$A:$A,0)),""))</f>
        <v/>
      </c>
      <c r="S87" s="14" t="n"/>
      <c r="T87" s="12" t="n"/>
      <c r="U87" s="13" t="n"/>
      <c r="V87" s="13" t="n"/>
      <c r="W87" s="12" t="n"/>
      <c r="X87" s="14" t="n"/>
      <c r="Y87" s="12" t="n"/>
    </row>
    <row r="88">
      <c r="A88" s="14" t="n"/>
      <c r="B88" s="13" t="n"/>
      <c r="C88" s="14" t="n"/>
      <c r="D88" s="14" t="n"/>
      <c r="E88" s="14" t="n"/>
      <c r="F88" s="12" t="n"/>
      <c r="G88" s="14" t="n"/>
      <c r="H88" s="14" t="n"/>
      <c r="I88" s="15" t="n"/>
      <c r="J88" s="15" t="n"/>
      <c r="K88" s="9">
        <f>IF(OR($I88="",$J88="",$M88="",$N88="",$J88&lt;=0),"",($I88-($M88-$N88))/$J88)</f>
        <v/>
      </c>
      <c r="L88" s="15" t="n"/>
      <c r="M88" s="15" t="n"/>
      <c r="N88" s="15" t="n"/>
      <c r="O88" s="9">
        <f>IF(OR($I88="",$J88="",$M88="",$J88&lt;=0),"",($I88-$M88)/$J88)</f>
        <v/>
      </c>
      <c r="P88" s="10">
        <f>IF($L88="","",IF($L88&lt;300,"下限未満（対象外）",IF($L88&gt;3000,"上限超（対象外）","範囲内")))</f>
        <v/>
      </c>
      <c r="Q88" s="10">
        <f>IF($A88="","",IFERROR(INDEX(初期検討!$S:$S,MATCH($A88,初期検討!$A:$A,0)),""))</f>
        <v/>
      </c>
      <c r="R88" s="11">
        <f>IF($A88="","",IFERROR(INDEX(初期検討!$T:$T,MATCH($A88,初期検討!$A:$A,0)),""))</f>
        <v/>
      </c>
      <c r="S88" s="14" t="n"/>
      <c r="T88" s="12" t="n"/>
      <c r="U88" s="13" t="n"/>
      <c r="V88" s="13" t="n"/>
      <c r="W88" s="12" t="n"/>
      <c r="X88" s="14" t="n"/>
      <c r="Y88" s="12" t="n"/>
    </row>
    <row r="89">
      <c r="A89" s="14" t="n"/>
      <c r="B89" s="13" t="n"/>
      <c r="C89" s="14" t="n"/>
      <c r="D89" s="14" t="n"/>
      <c r="E89" s="14" t="n"/>
      <c r="F89" s="12" t="n"/>
      <c r="G89" s="14" t="n"/>
      <c r="H89" s="14" t="n"/>
      <c r="I89" s="15" t="n"/>
      <c r="J89" s="15" t="n"/>
      <c r="K89" s="9">
        <f>IF(OR($I89="",$J89="",$M89="",$N89="",$J89&lt;=0),"",($I89-($M89-$N89))/$J89)</f>
        <v/>
      </c>
      <c r="L89" s="15" t="n"/>
      <c r="M89" s="15" t="n"/>
      <c r="N89" s="15" t="n"/>
      <c r="O89" s="9">
        <f>IF(OR($I89="",$J89="",$M89="",$J89&lt;=0),"",($I89-$M89)/$J89)</f>
        <v/>
      </c>
      <c r="P89" s="10">
        <f>IF($L89="","",IF($L89&lt;300,"下限未満（対象外）",IF($L89&gt;3000,"上限超（対象外）","範囲内")))</f>
        <v/>
      </c>
      <c r="Q89" s="10">
        <f>IF($A89="","",IFERROR(INDEX(初期検討!$S:$S,MATCH($A89,初期検討!$A:$A,0)),""))</f>
        <v/>
      </c>
      <c r="R89" s="11">
        <f>IF($A89="","",IFERROR(INDEX(初期検討!$T:$T,MATCH($A89,初期検討!$A:$A,0)),""))</f>
        <v/>
      </c>
      <c r="S89" s="14" t="n"/>
      <c r="T89" s="12" t="n"/>
      <c r="U89" s="13" t="n"/>
      <c r="V89" s="13" t="n"/>
      <c r="W89" s="12" t="n"/>
      <c r="X89" s="14" t="n"/>
      <c r="Y89" s="12" t="n"/>
    </row>
    <row r="90">
      <c r="A90" s="14" t="n"/>
      <c r="B90" s="13" t="n"/>
      <c r="C90" s="14" t="n"/>
      <c r="D90" s="14" t="n"/>
      <c r="E90" s="14" t="n"/>
      <c r="F90" s="12" t="n"/>
      <c r="G90" s="14" t="n"/>
      <c r="H90" s="14" t="n"/>
      <c r="I90" s="15" t="n"/>
      <c r="J90" s="15" t="n"/>
      <c r="K90" s="9">
        <f>IF(OR($I90="",$J90="",$M90="",$N90="",$J90&lt;=0),"",($I90-($M90-$N90))/$J90)</f>
        <v/>
      </c>
      <c r="L90" s="15" t="n"/>
      <c r="M90" s="15" t="n"/>
      <c r="N90" s="15" t="n"/>
      <c r="O90" s="9">
        <f>IF(OR($I90="",$J90="",$M90="",$J90&lt;=0),"",($I90-$M90)/$J90)</f>
        <v/>
      </c>
      <c r="P90" s="10">
        <f>IF($L90="","",IF($L90&lt;300,"下限未満（対象外）",IF($L90&gt;3000,"上限超（対象外）","範囲内")))</f>
        <v/>
      </c>
      <c r="Q90" s="10">
        <f>IF($A90="","",IFERROR(INDEX(初期検討!$S:$S,MATCH($A90,初期検討!$A:$A,0)),""))</f>
        <v/>
      </c>
      <c r="R90" s="11">
        <f>IF($A90="","",IFERROR(INDEX(初期検討!$T:$T,MATCH($A90,初期検討!$A:$A,0)),""))</f>
        <v/>
      </c>
      <c r="S90" s="14" t="n"/>
      <c r="T90" s="12" t="n"/>
      <c r="U90" s="13" t="n"/>
      <c r="V90" s="13" t="n"/>
      <c r="W90" s="12" t="n"/>
      <c r="X90" s="14" t="n"/>
      <c r="Y90" s="12" t="n"/>
    </row>
    <row r="91">
      <c r="A91" s="14" t="n"/>
      <c r="B91" s="13" t="n"/>
      <c r="C91" s="14" t="n"/>
      <c r="D91" s="14" t="n"/>
      <c r="E91" s="14" t="n"/>
      <c r="F91" s="12" t="n"/>
      <c r="G91" s="14" t="n"/>
      <c r="H91" s="14" t="n"/>
      <c r="I91" s="15" t="n"/>
      <c r="J91" s="15" t="n"/>
      <c r="K91" s="9">
        <f>IF(OR($I91="",$J91="",$M91="",$N91="",$J91&lt;=0),"",($I91-($M91-$N91))/$J91)</f>
        <v/>
      </c>
      <c r="L91" s="15" t="n"/>
      <c r="M91" s="15" t="n"/>
      <c r="N91" s="15" t="n"/>
      <c r="O91" s="9">
        <f>IF(OR($I91="",$J91="",$M91="",$J91&lt;=0),"",($I91-$M91)/$J91)</f>
        <v/>
      </c>
      <c r="P91" s="10">
        <f>IF($L91="","",IF($L91&lt;300,"下限未満（対象外）",IF($L91&gt;3000,"上限超（対象外）","範囲内")))</f>
        <v/>
      </c>
      <c r="Q91" s="10">
        <f>IF($A91="","",IFERROR(INDEX(初期検討!$S:$S,MATCH($A91,初期検討!$A:$A,0)),""))</f>
        <v/>
      </c>
      <c r="R91" s="11">
        <f>IF($A91="","",IFERROR(INDEX(初期検討!$T:$T,MATCH($A91,初期検討!$A:$A,0)),""))</f>
        <v/>
      </c>
      <c r="S91" s="14" t="n"/>
      <c r="T91" s="12" t="n"/>
      <c r="U91" s="13" t="n"/>
      <c r="V91" s="13" t="n"/>
      <c r="W91" s="12" t="n"/>
      <c r="X91" s="14" t="n"/>
      <c r="Y91" s="12" t="n"/>
    </row>
    <row r="92">
      <c r="A92" s="14" t="n"/>
      <c r="B92" s="13" t="n"/>
      <c r="C92" s="14" t="n"/>
      <c r="D92" s="14" t="n"/>
      <c r="E92" s="14" t="n"/>
      <c r="F92" s="12" t="n"/>
      <c r="G92" s="14" t="n"/>
      <c r="H92" s="14" t="n"/>
      <c r="I92" s="15" t="n"/>
      <c r="J92" s="15" t="n"/>
      <c r="K92" s="9">
        <f>IF(OR($I92="",$J92="",$M92="",$N92="",$J92&lt;=0),"",($I92-($M92-$N92))/$J92)</f>
        <v/>
      </c>
      <c r="L92" s="15" t="n"/>
      <c r="M92" s="15" t="n"/>
      <c r="N92" s="15" t="n"/>
      <c r="O92" s="9">
        <f>IF(OR($I92="",$J92="",$M92="",$J92&lt;=0),"",($I92-$M92)/$J92)</f>
        <v/>
      </c>
      <c r="P92" s="10">
        <f>IF($L92="","",IF($L92&lt;300,"下限未満（対象外）",IF($L92&gt;3000,"上限超（対象外）","範囲内")))</f>
        <v/>
      </c>
      <c r="Q92" s="10">
        <f>IF($A92="","",IFERROR(INDEX(初期検討!$S:$S,MATCH($A92,初期検討!$A:$A,0)),""))</f>
        <v/>
      </c>
      <c r="R92" s="11">
        <f>IF($A92="","",IFERROR(INDEX(初期検討!$T:$T,MATCH($A92,初期検討!$A:$A,0)),""))</f>
        <v/>
      </c>
      <c r="S92" s="14" t="n"/>
      <c r="T92" s="12" t="n"/>
      <c r="U92" s="13" t="n"/>
      <c r="V92" s="13" t="n"/>
      <c r="W92" s="12" t="n"/>
      <c r="X92" s="14" t="n"/>
      <c r="Y92" s="12" t="n"/>
    </row>
    <row r="93">
      <c r="A93" s="14" t="n"/>
      <c r="B93" s="13" t="n"/>
      <c r="C93" s="14" t="n"/>
      <c r="D93" s="14" t="n"/>
      <c r="E93" s="14" t="n"/>
      <c r="F93" s="12" t="n"/>
      <c r="G93" s="14" t="n"/>
      <c r="H93" s="14" t="n"/>
      <c r="I93" s="15" t="n"/>
      <c r="J93" s="15" t="n"/>
      <c r="K93" s="9">
        <f>IF(OR($I93="",$J93="",$M93="",$N93="",$J93&lt;=0),"",($I93-($M93-$N93))/$J93)</f>
        <v/>
      </c>
      <c r="L93" s="15" t="n"/>
      <c r="M93" s="15" t="n"/>
      <c r="N93" s="15" t="n"/>
      <c r="O93" s="9">
        <f>IF(OR($I93="",$J93="",$M93="",$J93&lt;=0),"",($I93-$M93)/$J93)</f>
        <v/>
      </c>
      <c r="P93" s="10">
        <f>IF($L93="","",IF($L93&lt;300,"下限未満（対象外）",IF($L93&gt;3000,"上限超（対象外）","範囲内")))</f>
        <v/>
      </c>
      <c r="Q93" s="10">
        <f>IF($A93="","",IFERROR(INDEX(初期検討!$S:$S,MATCH($A93,初期検討!$A:$A,0)),""))</f>
        <v/>
      </c>
      <c r="R93" s="11">
        <f>IF($A93="","",IFERROR(INDEX(初期検討!$T:$T,MATCH($A93,初期検討!$A:$A,0)),""))</f>
        <v/>
      </c>
      <c r="S93" s="14" t="n"/>
      <c r="T93" s="12" t="n"/>
      <c r="U93" s="13" t="n"/>
      <c r="V93" s="13" t="n"/>
      <c r="W93" s="12" t="n"/>
      <c r="X93" s="14" t="n"/>
      <c r="Y93" s="12" t="n"/>
    </row>
    <row r="94">
      <c r="A94" s="14" t="n"/>
      <c r="B94" s="13" t="n"/>
      <c r="C94" s="14" t="n"/>
      <c r="D94" s="14" t="n"/>
      <c r="E94" s="14" t="n"/>
      <c r="F94" s="12" t="n"/>
      <c r="G94" s="14" t="n"/>
      <c r="H94" s="14" t="n"/>
      <c r="I94" s="15" t="n"/>
      <c r="J94" s="15" t="n"/>
      <c r="K94" s="9">
        <f>IF(OR($I94="",$J94="",$M94="",$N94="",$J94&lt;=0),"",($I94-($M94-$N94))/$J94)</f>
        <v/>
      </c>
      <c r="L94" s="15" t="n"/>
      <c r="M94" s="15" t="n"/>
      <c r="N94" s="15" t="n"/>
      <c r="O94" s="9">
        <f>IF(OR($I94="",$J94="",$M94="",$J94&lt;=0),"",($I94-$M94)/$J94)</f>
        <v/>
      </c>
      <c r="P94" s="10">
        <f>IF($L94="","",IF($L94&lt;300,"下限未満（対象外）",IF($L94&gt;3000,"上限超（対象外）","範囲内")))</f>
        <v/>
      </c>
      <c r="Q94" s="10">
        <f>IF($A94="","",IFERROR(INDEX(初期検討!$S:$S,MATCH($A94,初期検討!$A:$A,0)),""))</f>
        <v/>
      </c>
      <c r="R94" s="11">
        <f>IF($A94="","",IFERROR(INDEX(初期検討!$T:$T,MATCH($A94,初期検討!$A:$A,0)),""))</f>
        <v/>
      </c>
      <c r="S94" s="14" t="n"/>
      <c r="T94" s="12" t="n"/>
      <c r="U94" s="13" t="n"/>
      <c r="V94" s="13" t="n"/>
      <c r="W94" s="12" t="n"/>
      <c r="X94" s="14" t="n"/>
      <c r="Y94" s="12" t="n"/>
    </row>
    <row r="95">
      <c r="A95" s="14" t="n"/>
      <c r="B95" s="13" t="n"/>
      <c r="C95" s="14" t="n"/>
      <c r="D95" s="14" t="n"/>
      <c r="E95" s="14" t="n"/>
      <c r="F95" s="12" t="n"/>
      <c r="G95" s="14" t="n"/>
      <c r="H95" s="14" t="n"/>
      <c r="I95" s="15" t="n"/>
      <c r="J95" s="15" t="n"/>
      <c r="K95" s="9">
        <f>IF(OR($I95="",$J95="",$M95="",$N95="",$J95&lt;=0),"",($I95-($M95-$N95))/$J95)</f>
        <v/>
      </c>
      <c r="L95" s="15" t="n"/>
      <c r="M95" s="15" t="n"/>
      <c r="N95" s="15" t="n"/>
      <c r="O95" s="9">
        <f>IF(OR($I95="",$J95="",$M95="",$J95&lt;=0),"",($I95-$M95)/$J95)</f>
        <v/>
      </c>
      <c r="P95" s="10">
        <f>IF($L95="","",IF($L95&lt;300,"下限未満（対象外）",IF($L95&gt;3000,"上限超（対象外）","範囲内")))</f>
        <v/>
      </c>
      <c r="Q95" s="10">
        <f>IF($A95="","",IFERROR(INDEX(初期検討!$S:$S,MATCH($A95,初期検討!$A:$A,0)),""))</f>
        <v/>
      </c>
      <c r="R95" s="11">
        <f>IF($A95="","",IFERROR(INDEX(初期検討!$T:$T,MATCH($A95,初期検討!$A:$A,0)),""))</f>
        <v/>
      </c>
      <c r="S95" s="14" t="n"/>
      <c r="T95" s="12" t="n"/>
      <c r="U95" s="13" t="n"/>
      <c r="V95" s="13" t="n"/>
      <c r="W95" s="12" t="n"/>
      <c r="X95" s="14" t="n"/>
      <c r="Y95" s="12" t="n"/>
    </row>
    <row r="96">
      <c r="A96" s="14" t="n"/>
      <c r="B96" s="13" t="n"/>
      <c r="C96" s="14" t="n"/>
      <c r="D96" s="14" t="n"/>
      <c r="E96" s="14" t="n"/>
      <c r="F96" s="12" t="n"/>
      <c r="G96" s="14" t="n"/>
      <c r="H96" s="14" t="n"/>
      <c r="I96" s="15" t="n"/>
      <c r="J96" s="15" t="n"/>
      <c r="K96" s="9">
        <f>IF(OR($I96="",$J96="",$M96="",$N96="",$J96&lt;=0),"",($I96-($M96-$N96))/$J96)</f>
        <v/>
      </c>
      <c r="L96" s="15" t="n"/>
      <c r="M96" s="15" t="n"/>
      <c r="N96" s="15" t="n"/>
      <c r="O96" s="9">
        <f>IF(OR($I96="",$J96="",$M96="",$J96&lt;=0),"",($I96-$M96)/$J96)</f>
        <v/>
      </c>
      <c r="P96" s="10">
        <f>IF($L96="","",IF($L96&lt;300,"下限未満（対象外）",IF($L96&gt;3000,"上限超（対象外）","範囲内")))</f>
        <v/>
      </c>
      <c r="Q96" s="10">
        <f>IF($A96="","",IFERROR(INDEX(初期検討!$S:$S,MATCH($A96,初期検討!$A:$A,0)),""))</f>
        <v/>
      </c>
      <c r="R96" s="11">
        <f>IF($A96="","",IFERROR(INDEX(初期検討!$T:$T,MATCH($A96,初期検討!$A:$A,0)),""))</f>
        <v/>
      </c>
      <c r="S96" s="14" t="n"/>
      <c r="T96" s="12" t="n"/>
      <c r="U96" s="13" t="n"/>
      <c r="V96" s="13" t="n"/>
      <c r="W96" s="12" t="n"/>
      <c r="X96" s="14" t="n"/>
      <c r="Y96" s="12" t="n"/>
    </row>
    <row r="97">
      <c r="A97" s="14" t="n"/>
      <c r="B97" s="13" t="n"/>
      <c r="C97" s="14" t="n"/>
      <c r="D97" s="14" t="n"/>
      <c r="E97" s="14" t="n"/>
      <c r="F97" s="12" t="n"/>
      <c r="G97" s="14" t="n"/>
      <c r="H97" s="14" t="n"/>
      <c r="I97" s="15" t="n"/>
      <c r="J97" s="15" t="n"/>
      <c r="K97" s="9">
        <f>IF(OR($I97="",$J97="",$M97="",$N97="",$J97&lt;=0),"",($I97-($M97-$N97))/$J97)</f>
        <v/>
      </c>
      <c r="L97" s="15" t="n"/>
      <c r="M97" s="15" t="n"/>
      <c r="N97" s="15" t="n"/>
      <c r="O97" s="9">
        <f>IF(OR($I97="",$J97="",$M97="",$J97&lt;=0),"",($I97-$M97)/$J97)</f>
        <v/>
      </c>
      <c r="P97" s="10">
        <f>IF($L97="","",IF($L97&lt;300,"下限未満（対象外）",IF($L97&gt;3000,"上限超（対象外）","範囲内")))</f>
        <v/>
      </c>
      <c r="Q97" s="10">
        <f>IF($A97="","",IFERROR(INDEX(初期検討!$S:$S,MATCH($A97,初期検討!$A:$A,0)),""))</f>
        <v/>
      </c>
      <c r="R97" s="11">
        <f>IF($A97="","",IFERROR(INDEX(初期検討!$T:$T,MATCH($A97,初期検討!$A:$A,0)),""))</f>
        <v/>
      </c>
      <c r="S97" s="14" t="n"/>
      <c r="T97" s="12" t="n"/>
      <c r="U97" s="13" t="n"/>
      <c r="V97" s="13" t="n"/>
      <c r="W97" s="12" t="n"/>
      <c r="X97" s="14" t="n"/>
      <c r="Y97" s="12" t="n"/>
    </row>
    <row r="98">
      <c r="A98" s="14" t="n"/>
      <c r="B98" s="13" t="n"/>
      <c r="C98" s="14" t="n"/>
      <c r="D98" s="14" t="n"/>
      <c r="E98" s="14" t="n"/>
      <c r="F98" s="12" t="n"/>
      <c r="G98" s="14" t="n"/>
      <c r="H98" s="14" t="n"/>
      <c r="I98" s="15" t="n"/>
      <c r="J98" s="15" t="n"/>
      <c r="K98" s="9">
        <f>IF(OR($I98="",$J98="",$M98="",$N98="",$J98&lt;=0),"",($I98-($M98-$N98))/$J98)</f>
        <v/>
      </c>
      <c r="L98" s="15" t="n"/>
      <c r="M98" s="15" t="n"/>
      <c r="N98" s="15" t="n"/>
      <c r="O98" s="9">
        <f>IF(OR($I98="",$J98="",$M98="",$J98&lt;=0),"",($I98-$M98)/$J98)</f>
        <v/>
      </c>
      <c r="P98" s="10">
        <f>IF($L98="","",IF($L98&lt;300,"下限未満（対象外）",IF($L98&gt;3000,"上限超（対象外）","範囲内")))</f>
        <v/>
      </c>
      <c r="Q98" s="10">
        <f>IF($A98="","",IFERROR(INDEX(初期検討!$S:$S,MATCH($A98,初期検討!$A:$A,0)),""))</f>
        <v/>
      </c>
      <c r="R98" s="11">
        <f>IF($A98="","",IFERROR(INDEX(初期検討!$T:$T,MATCH($A98,初期検討!$A:$A,0)),""))</f>
        <v/>
      </c>
      <c r="S98" s="14" t="n"/>
      <c r="T98" s="12" t="n"/>
      <c r="U98" s="13" t="n"/>
      <c r="V98" s="13" t="n"/>
      <c r="W98" s="12" t="n"/>
      <c r="X98" s="14" t="n"/>
      <c r="Y98" s="12" t="n"/>
    </row>
    <row r="99">
      <c r="A99" s="14" t="n"/>
      <c r="B99" s="13" t="n"/>
      <c r="C99" s="14" t="n"/>
      <c r="D99" s="14" t="n"/>
      <c r="E99" s="14" t="n"/>
      <c r="F99" s="12" t="n"/>
      <c r="G99" s="14" t="n"/>
      <c r="H99" s="14" t="n"/>
      <c r="I99" s="15" t="n"/>
      <c r="J99" s="15" t="n"/>
      <c r="K99" s="9">
        <f>IF(OR($I99="",$J99="",$M99="",$N99="",$J99&lt;=0),"",($I99-($M99-$N99))/$J99)</f>
        <v/>
      </c>
      <c r="L99" s="15" t="n"/>
      <c r="M99" s="15" t="n"/>
      <c r="N99" s="15" t="n"/>
      <c r="O99" s="9">
        <f>IF(OR($I99="",$J99="",$M99="",$J99&lt;=0),"",($I99-$M99)/$J99)</f>
        <v/>
      </c>
      <c r="P99" s="10">
        <f>IF($L99="","",IF($L99&lt;300,"下限未満（対象外）",IF($L99&gt;3000,"上限超（対象外）","範囲内")))</f>
        <v/>
      </c>
      <c r="Q99" s="10">
        <f>IF($A99="","",IFERROR(INDEX(初期検討!$S:$S,MATCH($A99,初期検討!$A:$A,0)),""))</f>
        <v/>
      </c>
      <c r="R99" s="11">
        <f>IF($A99="","",IFERROR(INDEX(初期検討!$T:$T,MATCH($A99,初期検討!$A:$A,0)),""))</f>
        <v/>
      </c>
      <c r="S99" s="14" t="n"/>
      <c r="T99" s="12" t="n"/>
      <c r="U99" s="13" t="n"/>
      <c r="V99" s="13" t="n"/>
      <c r="W99" s="12" t="n"/>
      <c r="X99" s="14" t="n"/>
      <c r="Y99" s="12" t="n"/>
    </row>
    <row r="100">
      <c r="A100" s="14" t="n"/>
      <c r="B100" s="13" t="n"/>
      <c r="C100" s="14" t="n"/>
      <c r="D100" s="14" t="n"/>
      <c r="E100" s="14" t="n"/>
      <c r="F100" s="12" t="n"/>
      <c r="G100" s="14" t="n"/>
      <c r="H100" s="14" t="n"/>
      <c r="I100" s="15" t="n"/>
      <c r="J100" s="15" t="n"/>
      <c r="K100" s="9">
        <f>IF(OR($I100="",$J100="",$M100="",$N100="",$J100&lt;=0),"",($I100-($M100-$N100))/$J100)</f>
        <v/>
      </c>
      <c r="L100" s="15" t="n"/>
      <c r="M100" s="15" t="n"/>
      <c r="N100" s="15" t="n"/>
      <c r="O100" s="9">
        <f>IF(OR($I100="",$J100="",$M100="",$J100&lt;=0),"",($I100-$M100)/$J100)</f>
        <v/>
      </c>
      <c r="P100" s="10">
        <f>IF($L100="","",IF($L100&lt;300,"下限未満（対象外）",IF($L100&gt;3000,"上限超（対象外）","範囲内")))</f>
        <v/>
      </c>
      <c r="Q100" s="10">
        <f>IF($A100="","",IFERROR(INDEX(初期検討!$S:$S,MATCH($A100,初期検討!$A:$A,0)),""))</f>
        <v/>
      </c>
      <c r="R100" s="11">
        <f>IF($A100="","",IFERROR(INDEX(初期検討!$T:$T,MATCH($A100,初期検討!$A:$A,0)),""))</f>
        <v/>
      </c>
      <c r="S100" s="14" t="n"/>
      <c r="T100" s="12" t="n"/>
      <c r="U100" s="13" t="n"/>
      <c r="V100" s="13" t="n"/>
      <c r="W100" s="12" t="n"/>
      <c r="X100" s="14" t="n"/>
      <c r="Y100" s="12" t="n"/>
    </row>
    <row r="101">
      <c r="A101" s="14" t="n"/>
      <c r="B101" s="13" t="n"/>
      <c r="C101" s="14" t="n"/>
      <c r="D101" s="14" t="n"/>
      <c r="E101" s="14" t="n"/>
      <c r="F101" s="12" t="n"/>
      <c r="G101" s="14" t="n"/>
      <c r="H101" s="14" t="n"/>
      <c r="I101" s="15" t="n"/>
      <c r="J101" s="15" t="n"/>
      <c r="K101" s="9">
        <f>IF(OR($I101="",$J101="",$M101="",$N101="",$J101&lt;=0),"",($I101-($M101-$N101))/$J101)</f>
        <v/>
      </c>
      <c r="L101" s="15" t="n"/>
      <c r="M101" s="15" t="n"/>
      <c r="N101" s="15" t="n"/>
      <c r="O101" s="9">
        <f>IF(OR($I101="",$J101="",$M101="",$J101&lt;=0),"",($I101-$M101)/$J101)</f>
        <v/>
      </c>
      <c r="P101" s="10">
        <f>IF($L101="","",IF($L101&lt;300,"下限未満（対象外）",IF($L101&gt;3000,"上限超（対象外）","範囲内")))</f>
        <v/>
      </c>
      <c r="Q101" s="10">
        <f>IF($A101="","",IFERROR(INDEX(初期検討!$S:$S,MATCH($A101,初期検討!$A:$A,0)),""))</f>
        <v/>
      </c>
      <c r="R101" s="11">
        <f>IF($A101="","",IFERROR(INDEX(初期検討!$T:$T,MATCH($A101,初期検討!$A:$A,0)),""))</f>
        <v/>
      </c>
      <c r="S101" s="14" t="n"/>
      <c r="T101" s="12" t="n"/>
      <c r="U101" s="13" t="n"/>
      <c r="V101" s="13" t="n"/>
      <c r="W101" s="12" t="n"/>
      <c r="X101" s="14" t="n"/>
      <c r="Y101" s="12" t="n"/>
    </row>
    <row r="102">
      <c r="A102" s="14" t="n"/>
      <c r="B102" s="13" t="n"/>
      <c r="C102" s="14" t="n"/>
      <c r="D102" s="14" t="n"/>
      <c r="E102" s="14" t="n"/>
      <c r="F102" s="12" t="n"/>
      <c r="G102" s="14" t="n"/>
      <c r="H102" s="14" t="n"/>
      <c r="I102" s="15" t="n"/>
      <c r="J102" s="15" t="n"/>
      <c r="K102" s="9">
        <f>IF(OR($I102="",$J102="",$M102="",$N102="",$J102&lt;=0),"",($I102-($M102-$N102))/$J102)</f>
        <v/>
      </c>
      <c r="L102" s="15" t="n"/>
      <c r="M102" s="15" t="n"/>
      <c r="N102" s="15" t="n"/>
      <c r="O102" s="9">
        <f>IF(OR($I102="",$J102="",$M102="",$J102&lt;=0),"",($I102-$M102)/$J102)</f>
        <v/>
      </c>
      <c r="P102" s="10">
        <f>IF($L102="","",IF($L102&lt;300,"下限未満（対象外）",IF($L102&gt;3000,"上限超（対象外）","範囲内")))</f>
        <v/>
      </c>
      <c r="Q102" s="10">
        <f>IF($A102="","",IFERROR(INDEX(初期検討!$S:$S,MATCH($A102,初期検討!$A:$A,0)),""))</f>
        <v/>
      </c>
      <c r="R102" s="11">
        <f>IF($A102="","",IFERROR(INDEX(初期検討!$T:$T,MATCH($A102,初期検討!$A:$A,0)),""))</f>
        <v/>
      </c>
      <c r="S102" s="14" t="n"/>
      <c r="T102" s="12" t="n"/>
      <c r="U102" s="13" t="n"/>
      <c r="V102" s="13" t="n"/>
      <c r="W102" s="12" t="n"/>
      <c r="X102" s="14" t="n"/>
      <c r="Y102" s="12" t="n"/>
    </row>
    <row r="103">
      <c r="A103" s="14" t="n"/>
      <c r="B103" s="13" t="n"/>
      <c r="C103" s="14" t="n"/>
      <c r="D103" s="14" t="n"/>
      <c r="E103" s="14" t="n"/>
      <c r="F103" s="12" t="n"/>
      <c r="G103" s="14" t="n"/>
      <c r="H103" s="14" t="n"/>
      <c r="I103" s="15" t="n"/>
      <c r="J103" s="15" t="n"/>
      <c r="K103" s="9">
        <f>IF(OR($I103="",$J103="",$M103="",$N103="",$J103&lt;=0),"",($I103-($M103-$N103))/$J103)</f>
        <v/>
      </c>
      <c r="L103" s="15" t="n"/>
      <c r="M103" s="15" t="n"/>
      <c r="N103" s="15" t="n"/>
      <c r="O103" s="9">
        <f>IF(OR($I103="",$J103="",$M103="",$J103&lt;=0),"",($I103-$M103)/$J103)</f>
        <v/>
      </c>
      <c r="P103" s="10">
        <f>IF($L103="","",IF($L103&lt;300,"下限未満（対象外）",IF($L103&gt;3000,"上限超（対象外）","範囲内")))</f>
        <v/>
      </c>
      <c r="Q103" s="10">
        <f>IF($A103="","",IFERROR(INDEX(初期検討!$S:$S,MATCH($A103,初期検討!$A:$A,0)),""))</f>
        <v/>
      </c>
      <c r="R103" s="11">
        <f>IF($A103="","",IFERROR(INDEX(初期検討!$T:$T,MATCH($A103,初期検討!$A:$A,0)),""))</f>
        <v/>
      </c>
      <c r="S103" s="14" t="n"/>
      <c r="T103" s="12" t="n"/>
      <c r="U103" s="13" t="n"/>
      <c r="V103" s="13" t="n"/>
      <c r="W103" s="12" t="n"/>
      <c r="X103" s="14" t="n"/>
      <c r="Y103" s="12" t="n"/>
    </row>
  </sheetData>
  <conditionalFormatting sqref="Q4:Q103">
    <cfRule type="expression" priority="1" dxfId="0">
      <formula>LEFT(Q4,2)="A："</formula>
    </cfRule>
    <cfRule type="expression" priority="2" dxfId="1">
      <formula>LEFT(Q4,2)="B："</formula>
    </cfRule>
    <cfRule type="expression" priority="3" dxfId="2">
      <formula>LEFT(Q4,2)="C："</formula>
    </cfRule>
  </conditionalFormatting>
  <conditionalFormatting sqref="P4:P103">
    <cfRule type="expression" priority="4" dxfId="2">
      <formula>AND(P4&lt;&gt;"",P4&lt;&gt;"範囲内")</formula>
    </cfRule>
  </conditionalFormatting>
  <conditionalFormatting sqref="K4:K103">
    <cfRule type="cellIs" priority="5" operator="greaterThan" dxfId="2">
      <formula>7</formula>
    </cfRule>
  </conditionalFormatting>
  <dataValidations count="3">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1" type="list">
      <formula1>=選択肢!$A$3:$A$36</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1" type="list">
      <formula1>=選択肢!$C$3:$C$10</formula1>
    </dataValidation>
    <dataValidation sqref="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howDropDown="0" showInputMessage="0" showErrorMessage="0" allowBlank="1" type="list">
      <formula1>=選択肢!$E$3:$E$14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7" customWidth="1" min="15" max="15"/>
    <col width="7" customWidth="1" min="16" max="16"/>
    <col width="7" customWidth="1" min="17" max="17"/>
    <col width="7" customWidth="1" min="18" max="18"/>
    <col width="30" customWidth="1" min="19" max="19"/>
    <col width="8" customWidth="1" min="20" max="20"/>
  </cols>
  <sheetData>
    <row r="1">
      <c r="A1" s="1" t="inlineStr">
        <is>
          <t>初期検討｜投資条件タブ 青塗り12項目の評価</t>
        </is>
      </c>
    </row>
    <row r="2">
      <c r="A2" s="2" t="inlineStr">
        <is>
          <t>◯2.0／△〜◯1.5／△1.0／×〜△0.5／×0。－は判定不能で達成率の分母から外れる。★はMust項目で、×が1つでも付けば総合C。</t>
        </is>
      </c>
    </row>
    <row r="3" ht="32" customHeight="1">
      <c r="A3" s="3" t="inlineStr">
        <is>
          <t>No</t>
        </is>
      </c>
      <c r="B3" s="3" t="inlineStr">
        <is>
          <t>企業名</t>
        </is>
      </c>
      <c r="C3" s="3" t="inlineStr">
        <is>
          <t>★ 1-1 業種ターゲット整合</t>
        </is>
      </c>
      <c r="D3" s="3" t="inlineStr">
        <is>
          <t>★ 1-2 TE拠出額4億円以下</t>
        </is>
      </c>
      <c r="E3" s="3" t="inlineStr">
        <is>
          <t>1-3 非キャッシュ性資産</t>
        </is>
      </c>
      <c r="F3" s="3" t="inlineStr">
        <is>
          <t>★ 2 安定黒字か</t>
        </is>
      </c>
      <c r="G3" s="3" t="inlineStr">
        <is>
          <t>3 粗利率30%以上</t>
        </is>
      </c>
      <c r="H3" s="3" t="inlineStr">
        <is>
          <t>4 永続性</t>
        </is>
      </c>
      <c r="I3" s="3" t="inlineStr">
        <is>
          <t>★ 5 価格の妥当性</t>
        </is>
      </c>
      <c r="J3" s="3" t="inlineStr">
        <is>
          <t>8-1 ストック型か</t>
        </is>
      </c>
      <c r="K3" s="3" t="inlineStr">
        <is>
          <t>8-2 流行り廃り</t>
        </is>
      </c>
      <c r="L3" s="3" t="inlineStr">
        <is>
          <t>9 売却理由</t>
        </is>
      </c>
      <c r="M3" s="3" t="inlineStr">
        <is>
          <t>11 取引先依存</t>
        </is>
      </c>
      <c r="N3" s="3" t="inlineStr">
        <is>
          <t>12 人材依存</t>
        </is>
      </c>
      <c r="O3" s="3" t="inlineStr">
        <is>
          <t>得点</t>
        </is>
      </c>
      <c r="P3" s="3" t="inlineStr">
        <is>
          <t>判定済</t>
        </is>
      </c>
      <c r="Q3" s="3" t="inlineStr">
        <is>
          <t>×件数</t>
        </is>
      </c>
      <c r="R3" s="3" t="inlineStr">
        <is>
          <t>Must×</t>
        </is>
      </c>
      <c r="S3" s="3" t="inlineStr">
        <is>
          <t>総合判定</t>
        </is>
      </c>
      <c r="T3" s="3" t="inlineStr">
        <is>
          <t>達成率</t>
        </is>
      </c>
    </row>
    <row r="4">
      <c r="A4" s="16" t="n">
        <v>1</v>
      </c>
      <c r="B4" s="17">
        <f>IF($A4="","",IFERROR(INDEX(案件管理!$E:$E,MATCH($A4,案件管理!$A:$A,0)),""))</f>
        <v/>
      </c>
      <c r="C4" s="18" t="inlineStr">
        <is>
          <t>◯</t>
        </is>
      </c>
      <c r="D4" s="18" t="inlineStr">
        <is>
          <t>◯</t>
        </is>
      </c>
      <c r="E4" s="18" t="inlineStr">
        <is>
          <t>◯</t>
        </is>
      </c>
      <c r="F4" s="18" t="inlineStr">
        <is>
          <t>◯</t>
        </is>
      </c>
      <c r="G4" s="18" t="inlineStr">
        <is>
          <t>◯</t>
        </is>
      </c>
      <c r="H4" s="18" t="inlineStr">
        <is>
          <t>◯</t>
        </is>
      </c>
      <c r="I4" s="18" t="inlineStr">
        <is>
          <t>△〜◯</t>
        </is>
      </c>
      <c r="J4" s="18" t="inlineStr">
        <is>
          <t>◯</t>
        </is>
      </c>
      <c r="K4" s="18" t="inlineStr">
        <is>
          <t>△〜◯</t>
        </is>
      </c>
      <c r="L4" s="18" t="inlineStr">
        <is>
          <t>△</t>
        </is>
      </c>
      <c r="M4" s="18" t="inlineStr">
        <is>
          <t>△〜◯</t>
        </is>
      </c>
      <c r="N4" s="18" t="inlineStr">
        <is>
          <t>△</t>
        </is>
      </c>
      <c r="O4" s="19">
        <f>COUNTIF($C4:$N4,"◯")*2+COUNTIF($C4:$N4,"△〜◯")*1.5+COUNTIF($C4:$N4,"△")*1+COUNTIF($C4:$N4,"×〜△")*0.5</f>
        <v/>
      </c>
      <c r="P4" s="20">
        <f>COUNTIF($C4:$N4,"◯")+COUNTIF($C4:$N4,"△〜◯")+COUNTIF($C4:$N4,"△")+COUNTIF($C4:$N4,"×〜△")+COUNTIF($C4:$N4,"×")</f>
        <v/>
      </c>
      <c r="Q4" s="20">
        <f>COUNTIF($C4:$N4,"×")</f>
        <v/>
      </c>
      <c r="R4" s="20">
        <f>COUNTIF($C4,"×")+COUNTIF($D4,"×")+COUNTIF($F4,"×")+COUNTIF($I4,"×")</f>
        <v/>
      </c>
      <c r="S4" s="20">
        <f>IF($P4=0,"未入力",IF($R4&gt;0,"C：見送り（Must項目に×）",IF($Q4&gt;=2,"C：見送り（×が2項目以上）",IF($P4&lt;6,"B：追加情報を取得して再判定",IF(AND($Q4=0,$O4/($P4*2)&gt;=0.75),"A：進める（トップ面談・基本合意検討へ）","B：追加情報を取得して再判定")))))</f>
        <v/>
      </c>
      <c r="T4" s="21">
        <f>IF($P4=0,"",$O4/($P4*2))</f>
        <v/>
      </c>
    </row>
    <row r="5">
      <c r="A5" s="16" t="n">
        <v>2</v>
      </c>
      <c r="B5" s="17">
        <f>IF($A5="","",IFERROR(INDEX(案件管理!$E:$E,MATCH($A5,案件管理!$A:$A,0)),""))</f>
        <v/>
      </c>
      <c r="C5" s="18" t="inlineStr">
        <is>
          <t>×</t>
        </is>
      </c>
      <c r="D5" s="18" t="inlineStr">
        <is>
          <t>◯</t>
        </is>
      </c>
      <c r="E5" s="18" t="inlineStr">
        <is>
          <t>×〜△</t>
        </is>
      </c>
      <c r="F5" s="18" t="inlineStr">
        <is>
          <t>◯</t>
        </is>
      </c>
      <c r="G5" s="18" t="inlineStr">
        <is>
          <t>×〜△</t>
        </is>
      </c>
      <c r="H5" s="18" t="inlineStr">
        <is>
          <t>△</t>
        </is>
      </c>
      <c r="I5" s="18" t="inlineStr">
        <is>
          <t>×</t>
        </is>
      </c>
      <c r="J5" s="18" t="inlineStr">
        <is>
          <t>△</t>
        </is>
      </c>
      <c r="K5" s="18" t="inlineStr">
        <is>
          <t>△〜◯</t>
        </is>
      </c>
      <c r="L5" s="18" t="inlineStr">
        <is>
          <t>×〜△</t>
        </is>
      </c>
      <c r="M5" s="18" t="inlineStr">
        <is>
          <t>－</t>
        </is>
      </c>
      <c r="N5" s="18" t="inlineStr">
        <is>
          <t>△</t>
        </is>
      </c>
      <c r="O5" s="19">
        <f>COUNTIF($C5:$N5,"◯")*2+COUNTIF($C5:$N5,"△〜◯")*1.5+COUNTIF($C5:$N5,"△")*1+COUNTIF($C5:$N5,"×〜△")*0.5</f>
        <v/>
      </c>
      <c r="P5" s="20">
        <f>COUNTIF($C5:$N5,"◯")+COUNTIF($C5:$N5,"△〜◯")+COUNTIF($C5:$N5,"△")+COUNTIF($C5:$N5,"×〜△")+COUNTIF($C5:$N5,"×")</f>
        <v/>
      </c>
      <c r="Q5" s="20">
        <f>COUNTIF($C5:$N5,"×")</f>
        <v/>
      </c>
      <c r="R5" s="20">
        <f>COUNTIF($C5,"×")+COUNTIF($D5,"×")+COUNTIF($F5,"×")+COUNTIF($I5,"×")</f>
        <v/>
      </c>
      <c r="S5" s="20">
        <f>IF($P5=0,"未入力",IF($R5&gt;0,"C：見送り（Must項目に×）",IF($Q5&gt;=2,"C：見送り（×が2項目以上）",IF($P5&lt;6,"B：追加情報を取得して再判定",IF(AND($Q5=0,$O5/($P5*2)&gt;=0.75),"A：進める（トップ面談・基本合意検討へ）","B：追加情報を取得して再判定")))))</f>
        <v/>
      </c>
      <c r="T5" s="21">
        <f>IF($P5=0,"",$O5/($P5*2))</f>
        <v/>
      </c>
    </row>
    <row r="6">
      <c r="A6" s="22" t="n"/>
      <c r="B6" s="17">
        <f>IF($A6="","",IFERROR(INDEX(案件管理!$E:$E,MATCH($A6,案件管理!$A:$A,0)),""))</f>
        <v/>
      </c>
      <c r="C6" s="23" t="n"/>
      <c r="D6" s="23" t="n"/>
      <c r="E6" s="23" t="n"/>
      <c r="F6" s="23" t="n"/>
      <c r="G6" s="23" t="n"/>
      <c r="H6" s="23" t="n"/>
      <c r="I6" s="23" t="n"/>
      <c r="J6" s="23" t="n"/>
      <c r="K6" s="23" t="n"/>
      <c r="L6" s="23" t="n"/>
      <c r="M6" s="23" t="n"/>
      <c r="N6" s="23" t="n"/>
      <c r="O6" s="19">
        <f>COUNTIF($C6:$N6,"◯")*2+COUNTIF($C6:$N6,"△〜◯")*1.5+COUNTIF($C6:$N6,"△")*1+COUNTIF($C6:$N6,"×〜△")*0.5</f>
        <v/>
      </c>
      <c r="P6" s="20">
        <f>COUNTIF($C6:$N6,"◯")+COUNTIF($C6:$N6,"△〜◯")+COUNTIF($C6:$N6,"△")+COUNTIF($C6:$N6,"×〜△")+COUNTIF($C6:$N6,"×")</f>
        <v/>
      </c>
      <c r="Q6" s="20">
        <f>COUNTIF($C6:$N6,"×")</f>
        <v/>
      </c>
      <c r="R6" s="20">
        <f>COUNTIF($C6,"×")+COUNTIF($D6,"×")+COUNTIF($F6,"×")+COUNTIF($I6,"×")</f>
        <v/>
      </c>
      <c r="S6" s="20">
        <f>IF($P6=0,"未入力",IF($R6&gt;0,"C：見送り（Must項目に×）",IF($Q6&gt;=2,"C：見送り（×が2項目以上）",IF($P6&lt;6,"B：追加情報を取得して再判定",IF(AND($Q6=0,$O6/($P6*2)&gt;=0.75),"A：進める（トップ面談・基本合意検討へ）","B：追加情報を取得して再判定")))))</f>
        <v/>
      </c>
      <c r="T6" s="21">
        <f>IF($P6=0,"",$O6/($P6*2))</f>
        <v/>
      </c>
    </row>
    <row r="7">
      <c r="A7" s="22" t="n"/>
      <c r="B7" s="17">
        <f>IF($A7="","",IFERROR(INDEX(案件管理!$E:$E,MATCH($A7,案件管理!$A:$A,0)),""))</f>
        <v/>
      </c>
      <c r="C7" s="23" t="n"/>
      <c r="D7" s="23" t="n"/>
      <c r="E7" s="23" t="n"/>
      <c r="F7" s="23" t="n"/>
      <c r="G7" s="23" t="n"/>
      <c r="H7" s="23" t="n"/>
      <c r="I7" s="23" t="n"/>
      <c r="J7" s="23" t="n"/>
      <c r="K7" s="23" t="n"/>
      <c r="L7" s="23" t="n"/>
      <c r="M7" s="23" t="n"/>
      <c r="N7" s="23" t="n"/>
      <c r="O7" s="19">
        <f>COUNTIF($C7:$N7,"◯")*2+COUNTIF($C7:$N7,"△〜◯")*1.5+COUNTIF($C7:$N7,"△")*1+COUNTIF($C7:$N7,"×〜△")*0.5</f>
        <v/>
      </c>
      <c r="P7" s="20">
        <f>COUNTIF($C7:$N7,"◯")+COUNTIF($C7:$N7,"△〜◯")+COUNTIF($C7:$N7,"△")+COUNTIF($C7:$N7,"×〜△")+COUNTIF($C7:$N7,"×")</f>
        <v/>
      </c>
      <c r="Q7" s="20">
        <f>COUNTIF($C7:$N7,"×")</f>
        <v/>
      </c>
      <c r="R7" s="20">
        <f>COUNTIF($C7,"×")+COUNTIF($D7,"×")+COUNTIF($F7,"×")+COUNTIF($I7,"×")</f>
        <v/>
      </c>
      <c r="S7" s="20">
        <f>IF($P7=0,"未入力",IF($R7&gt;0,"C：見送り（Must項目に×）",IF($Q7&gt;=2,"C：見送り（×が2項目以上）",IF($P7&lt;6,"B：追加情報を取得して再判定",IF(AND($Q7=0,$O7/($P7*2)&gt;=0.75),"A：進める（トップ面談・基本合意検討へ）","B：追加情報を取得して再判定")))))</f>
        <v/>
      </c>
      <c r="T7" s="21">
        <f>IF($P7=0,"",$O7/($P7*2))</f>
        <v/>
      </c>
    </row>
    <row r="8">
      <c r="A8" s="22" t="n"/>
      <c r="B8" s="17">
        <f>IF($A8="","",IFERROR(INDEX(案件管理!$E:$E,MATCH($A8,案件管理!$A:$A,0)),""))</f>
        <v/>
      </c>
      <c r="C8" s="23" t="n"/>
      <c r="D8" s="23" t="n"/>
      <c r="E8" s="23" t="n"/>
      <c r="F8" s="23" t="n"/>
      <c r="G8" s="23" t="n"/>
      <c r="H8" s="23" t="n"/>
      <c r="I8" s="23" t="n"/>
      <c r="J8" s="23" t="n"/>
      <c r="K8" s="23" t="n"/>
      <c r="L8" s="23" t="n"/>
      <c r="M8" s="23" t="n"/>
      <c r="N8" s="23" t="n"/>
      <c r="O8" s="19">
        <f>COUNTIF($C8:$N8,"◯")*2+COUNTIF($C8:$N8,"△〜◯")*1.5+COUNTIF($C8:$N8,"△")*1+COUNTIF($C8:$N8,"×〜△")*0.5</f>
        <v/>
      </c>
      <c r="P8" s="20">
        <f>COUNTIF($C8:$N8,"◯")+COUNTIF($C8:$N8,"△〜◯")+COUNTIF($C8:$N8,"△")+COUNTIF($C8:$N8,"×〜△")+COUNTIF($C8:$N8,"×")</f>
        <v/>
      </c>
      <c r="Q8" s="20">
        <f>COUNTIF($C8:$N8,"×")</f>
        <v/>
      </c>
      <c r="R8" s="20">
        <f>COUNTIF($C8,"×")+COUNTIF($D8,"×")+COUNTIF($F8,"×")+COUNTIF($I8,"×")</f>
        <v/>
      </c>
      <c r="S8" s="20">
        <f>IF($P8=0,"未入力",IF($R8&gt;0,"C：見送り（Must項目に×）",IF($Q8&gt;=2,"C：見送り（×が2項目以上）",IF($P8&lt;6,"B：追加情報を取得して再判定",IF(AND($Q8=0,$O8/($P8*2)&gt;=0.75),"A：進める（トップ面談・基本合意検討へ）","B：追加情報を取得して再判定")))))</f>
        <v/>
      </c>
      <c r="T8" s="21">
        <f>IF($P8=0,"",$O8/($P8*2))</f>
        <v/>
      </c>
    </row>
    <row r="9">
      <c r="A9" s="22" t="n"/>
      <c r="B9" s="17">
        <f>IF($A9="","",IFERROR(INDEX(案件管理!$E:$E,MATCH($A9,案件管理!$A:$A,0)),""))</f>
        <v/>
      </c>
      <c r="C9" s="23" t="n"/>
      <c r="D9" s="23" t="n"/>
      <c r="E9" s="23" t="n"/>
      <c r="F9" s="23" t="n"/>
      <c r="G9" s="23" t="n"/>
      <c r="H9" s="23" t="n"/>
      <c r="I9" s="23" t="n"/>
      <c r="J9" s="23" t="n"/>
      <c r="K9" s="23" t="n"/>
      <c r="L9" s="23" t="n"/>
      <c r="M9" s="23" t="n"/>
      <c r="N9" s="23" t="n"/>
      <c r="O9" s="19">
        <f>COUNTIF($C9:$N9,"◯")*2+COUNTIF($C9:$N9,"△〜◯")*1.5+COUNTIF($C9:$N9,"△")*1+COUNTIF($C9:$N9,"×〜△")*0.5</f>
        <v/>
      </c>
      <c r="P9" s="20">
        <f>COUNTIF($C9:$N9,"◯")+COUNTIF($C9:$N9,"△〜◯")+COUNTIF($C9:$N9,"△")+COUNTIF($C9:$N9,"×〜△")+COUNTIF($C9:$N9,"×")</f>
        <v/>
      </c>
      <c r="Q9" s="20">
        <f>COUNTIF($C9:$N9,"×")</f>
        <v/>
      </c>
      <c r="R9" s="20">
        <f>COUNTIF($C9,"×")+COUNTIF($D9,"×")+COUNTIF($F9,"×")+COUNTIF($I9,"×")</f>
        <v/>
      </c>
      <c r="S9" s="20">
        <f>IF($P9=0,"未入力",IF($R9&gt;0,"C：見送り（Must項目に×）",IF($Q9&gt;=2,"C：見送り（×が2項目以上）",IF($P9&lt;6,"B：追加情報を取得して再判定",IF(AND($Q9=0,$O9/($P9*2)&gt;=0.75),"A：進める（トップ面談・基本合意検討へ）","B：追加情報を取得して再判定")))))</f>
        <v/>
      </c>
      <c r="T9" s="21">
        <f>IF($P9=0,"",$O9/($P9*2))</f>
        <v/>
      </c>
    </row>
    <row r="10">
      <c r="A10" s="22" t="n"/>
      <c r="B10" s="17">
        <f>IF($A10="","",IFERROR(INDEX(案件管理!$E:$E,MATCH($A10,案件管理!$A:$A,0)),""))</f>
        <v/>
      </c>
      <c r="C10" s="23" t="n"/>
      <c r="D10" s="23" t="n"/>
      <c r="E10" s="23" t="n"/>
      <c r="F10" s="23" t="n"/>
      <c r="G10" s="23" t="n"/>
      <c r="H10" s="23" t="n"/>
      <c r="I10" s="23" t="n"/>
      <c r="J10" s="23" t="n"/>
      <c r="K10" s="23" t="n"/>
      <c r="L10" s="23" t="n"/>
      <c r="M10" s="23" t="n"/>
      <c r="N10" s="23" t="n"/>
      <c r="O10" s="19">
        <f>COUNTIF($C10:$N10,"◯")*2+COUNTIF($C10:$N10,"△〜◯")*1.5+COUNTIF($C10:$N10,"△")*1+COUNTIF($C10:$N10,"×〜△")*0.5</f>
        <v/>
      </c>
      <c r="P10" s="20">
        <f>COUNTIF($C10:$N10,"◯")+COUNTIF($C10:$N10,"△〜◯")+COUNTIF($C10:$N10,"△")+COUNTIF($C10:$N10,"×〜△")+COUNTIF($C10:$N10,"×")</f>
        <v/>
      </c>
      <c r="Q10" s="20">
        <f>COUNTIF($C10:$N10,"×")</f>
        <v/>
      </c>
      <c r="R10" s="20">
        <f>COUNTIF($C10,"×")+COUNTIF($D10,"×")+COUNTIF($F10,"×")+COUNTIF($I10,"×")</f>
        <v/>
      </c>
      <c r="S10" s="20">
        <f>IF($P10=0,"未入力",IF($R10&gt;0,"C：見送り（Must項目に×）",IF($Q10&gt;=2,"C：見送り（×が2項目以上）",IF($P10&lt;6,"B：追加情報を取得して再判定",IF(AND($Q10=0,$O10/($P10*2)&gt;=0.75),"A：進める（トップ面談・基本合意検討へ）","B：追加情報を取得して再判定")))))</f>
        <v/>
      </c>
      <c r="T10" s="21">
        <f>IF($P10=0,"",$O10/($P10*2))</f>
        <v/>
      </c>
    </row>
    <row r="11">
      <c r="A11" s="22" t="n"/>
      <c r="B11" s="17">
        <f>IF($A11="","",IFERROR(INDEX(案件管理!$E:$E,MATCH($A11,案件管理!$A:$A,0)),""))</f>
        <v/>
      </c>
      <c r="C11" s="23" t="n"/>
      <c r="D11" s="23" t="n"/>
      <c r="E11" s="23" t="n"/>
      <c r="F11" s="23" t="n"/>
      <c r="G11" s="23" t="n"/>
      <c r="H11" s="23" t="n"/>
      <c r="I11" s="23" t="n"/>
      <c r="J11" s="23" t="n"/>
      <c r="K11" s="23" t="n"/>
      <c r="L11" s="23" t="n"/>
      <c r="M11" s="23" t="n"/>
      <c r="N11" s="23" t="n"/>
      <c r="O11" s="19">
        <f>COUNTIF($C11:$N11,"◯")*2+COUNTIF($C11:$N11,"△〜◯")*1.5+COUNTIF($C11:$N11,"△")*1+COUNTIF($C11:$N11,"×〜△")*0.5</f>
        <v/>
      </c>
      <c r="P11" s="20">
        <f>COUNTIF($C11:$N11,"◯")+COUNTIF($C11:$N11,"△〜◯")+COUNTIF($C11:$N11,"△")+COUNTIF($C11:$N11,"×〜△")+COUNTIF($C11:$N11,"×")</f>
        <v/>
      </c>
      <c r="Q11" s="20">
        <f>COUNTIF($C11:$N11,"×")</f>
        <v/>
      </c>
      <c r="R11" s="20">
        <f>COUNTIF($C11,"×")+COUNTIF($D11,"×")+COUNTIF($F11,"×")+COUNTIF($I11,"×")</f>
        <v/>
      </c>
      <c r="S11" s="20">
        <f>IF($P11=0,"未入力",IF($R11&gt;0,"C：見送り（Must項目に×）",IF($Q11&gt;=2,"C：見送り（×が2項目以上）",IF($P11&lt;6,"B：追加情報を取得して再判定",IF(AND($Q11=0,$O11/($P11*2)&gt;=0.75),"A：進める（トップ面談・基本合意検討へ）","B：追加情報を取得して再判定")))))</f>
        <v/>
      </c>
      <c r="T11" s="21">
        <f>IF($P11=0,"",$O11/($P11*2))</f>
        <v/>
      </c>
    </row>
    <row r="12">
      <c r="A12" s="22" t="n"/>
      <c r="B12" s="17">
        <f>IF($A12="","",IFERROR(INDEX(案件管理!$E:$E,MATCH($A12,案件管理!$A:$A,0)),""))</f>
        <v/>
      </c>
      <c r="C12" s="23" t="n"/>
      <c r="D12" s="23" t="n"/>
      <c r="E12" s="23" t="n"/>
      <c r="F12" s="23" t="n"/>
      <c r="G12" s="23" t="n"/>
      <c r="H12" s="23" t="n"/>
      <c r="I12" s="23" t="n"/>
      <c r="J12" s="23" t="n"/>
      <c r="K12" s="23" t="n"/>
      <c r="L12" s="23" t="n"/>
      <c r="M12" s="23" t="n"/>
      <c r="N12" s="23" t="n"/>
      <c r="O12" s="19">
        <f>COUNTIF($C12:$N12,"◯")*2+COUNTIF($C12:$N12,"△〜◯")*1.5+COUNTIF($C12:$N12,"△")*1+COUNTIF($C12:$N12,"×〜△")*0.5</f>
        <v/>
      </c>
      <c r="P12" s="20">
        <f>COUNTIF($C12:$N12,"◯")+COUNTIF($C12:$N12,"△〜◯")+COUNTIF($C12:$N12,"△")+COUNTIF($C12:$N12,"×〜△")+COUNTIF($C12:$N12,"×")</f>
        <v/>
      </c>
      <c r="Q12" s="20">
        <f>COUNTIF($C12:$N12,"×")</f>
        <v/>
      </c>
      <c r="R12" s="20">
        <f>COUNTIF($C12,"×")+COUNTIF($D12,"×")+COUNTIF($F12,"×")+COUNTIF($I12,"×")</f>
        <v/>
      </c>
      <c r="S12" s="20">
        <f>IF($P12=0,"未入力",IF($R12&gt;0,"C：見送り（Must項目に×）",IF($Q12&gt;=2,"C：見送り（×が2項目以上）",IF($P12&lt;6,"B：追加情報を取得して再判定",IF(AND($Q12=0,$O12/($P12*2)&gt;=0.75),"A：進める（トップ面談・基本合意検討へ）","B：追加情報を取得して再判定")))))</f>
        <v/>
      </c>
      <c r="T12" s="21">
        <f>IF($P12=0,"",$O12/($P12*2))</f>
        <v/>
      </c>
    </row>
    <row r="13">
      <c r="A13" s="22" t="n"/>
      <c r="B13" s="17">
        <f>IF($A13="","",IFERROR(INDEX(案件管理!$E:$E,MATCH($A13,案件管理!$A:$A,0)),""))</f>
        <v/>
      </c>
      <c r="C13" s="23" t="n"/>
      <c r="D13" s="23" t="n"/>
      <c r="E13" s="23" t="n"/>
      <c r="F13" s="23" t="n"/>
      <c r="G13" s="23" t="n"/>
      <c r="H13" s="23" t="n"/>
      <c r="I13" s="23" t="n"/>
      <c r="J13" s="23" t="n"/>
      <c r="K13" s="23" t="n"/>
      <c r="L13" s="23" t="n"/>
      <c r="M13" s="23" t="n"/>
      <c r="N13" s="23" t="n"/>
      <c r="O13" s="19">
        <f>COUNTIF($C13:$N13,"◯")*2+COUNTIF($C13:$N13,"△〜◯")*1.5+COUNTIF($C13:$N13,"△")*1+COUNTIF($C13:$N13,"×〜△")*0.5</f>
        <v/>
      </c>
      <c r="P13" s="20">
        <f>COUNTIF($C13:$N13,"◯")+COUNTIF($C13:$N13,"△〜◯")+COUNTIF($C13:$N13,"△")+COUNTIF($C13:$N13,"×〜△")+COUNTIF($C13:$N13,"×")</f>
        <v/>
      </c>
      <c r="Q13" s="20">
        <f>COUNTIF($C13:$N13,"×")</f>
        <v/>
      </c>
      <c r="R13" s="20">
        <f>COUNTIF($C13,"×")+COUNTIF($D13,"×")+COUNTIF($F13,"×")+COUNTIF($I13,"×")</f>
        <v/>
      </c>
      <c r="S13" s="20">
        <f>IF($P13=0,"未入力",IF($R13&gt;0,"C：見送り（Must項目に×）",IF($Q13&gt;=2,"C：見送り（×が2項目以上）",IF($P13&lt;6,"B：追加情報を取得して再判定",IF(AND($Q13=0,$O13/($P13*2)&gt;=0.75),"A：進める（トップ面談・基本合意検討へ）","B：追加情報を取得して再判定")))))</f>
        <v/>
      </c>
      <c r="T13" s="21">
        <f>IF($P13=0,"",$O13/($P13*2))</f>
        <v/>
      </c>
    </row>
    <row r="14">
      <c r="A14" s="22" t="n"/>
      <c r="B14" s="17">
        <f>IF($A14="","",IFERROR(INDEX(案件管理!$E:$E,MATCH($A14,案件管理!$A:$A,0)),""))</f>
        <v/>
      </c>
      <c r="C14" s="23" t="n"/>
      <c r="D14" s="23" t="n"/>
      <c r="E14" s="23" t="n"/>
      <c r="F14" s="23" t="n"/>
      <c r="G14" s="23" t="n"/>
      <c r="H14" s="23" t="n"/>
      <c r="I14" s="23" t="n"/>
      <c r="J14" s="23" t="n"/>
      <c r="K14" s="23" t="n"/>
      <c r="L14" s="23" t="n"/>
      <c r="M14" s="23" t="n"/>
      <c r="N14" s="23" t="n"/>
      <c r="O14" s="19">
        <f>COUNTIF($C14:$N14,"◯")*2+COUNTIF($C14:$N14,"△〜◯")*1.5+COUNTIF($C14:$N14,"△")*1+COUNTIF($C14:$N14,"×〜△")*0.5</f>
        <v/>
      </c>
      <c r="P14" s="20">
        <f>COUNTIF($C14:$N14,"◯")+COUNTIF($C14:$N14,"△〜◯")+COUNTIF($C14:$N14,"△")+COUNTIF($C14:$N14,"×〜△")+COUNTIF($C14:$N14,"×")</f>
        <v/>
      </c>
      <c r="Q14" s="20">
        <f>COUNTIF($C14:$N14,"×")</f>
        <v/>
      </c>
      <c r="R14" s="20">
        <f>COUNTIF($C14,"×")+COUNTIF($D14,"×")+COUNTIF($F14,"×")+COUNTIF($I14,"×")</f>
        <v/>
      </c>
      <c r="S14" s="20">
        <f>IF($P14=0,"未入力",IF($R14&gt;0,"C：見送り（Must項目に×）",IF($Q14&gt;=2,"C：見送り（×が2項目以上）",IF($P14&lt;6,"B：追加情報を取得して再判定",IF(AND($Q14=0,$O14/($P14*2)&gt;=0.75),"A：進める（トップ面談・基本合意検討へ）","B：追加情報を取得して再判定")))))</f>
        <v/>
      </c>
      <c r="T14" s="21">
        <f>IF($P14=0,"",$O14/($P14*2))</f>
        <v/>
      </c>
    </row>
    <row r="15">
      <c r="A15" s="22" t="n"/>
      <c r="B15" s="17">
        <f>IF($A15="","",IFERROR(INDEX(案件管理!$E:$E,MATCH($A15,案件管理!$A:$A,0)),""))</f>
        <v/>
      </c>
      <c r="C15" s="23" t="n"/>
      <c r="D15" s="23" t="n"/>
      <c r="E15" s="23" t="n"/>
      <c r="F15" s="23" t="n"/>
      <c r="G15" s="23" t="n"/>
      <c r="H15" s="23" t="n"/>
      <c r="I15" s="23" t="n"/>
      <c r="J15" s="23" t="n"/>
      <c r="K15" s="23" t="n"/>
      <c r="L15" s="23" t="n"/>
      <c r="M15" s="23" t="n"/>
      <c r="N15" s="23" t="n"/>
      <c r="O15" s="19">
        <f>COUNTIF($C15:$N15,"◯")*2+COUNTIF($C15:$N15,"△〜◯")*1.5+COUNTIF($C15:$N15,"△")*1+COUNTIF($C15:$N15,"×〜△")*0.5</f>
        <v/>
      </c>
      <c r="P15" s="20">
        <f>COUNTIF($C15:$N15,"◯")+COUNTIF($C15:$N15,"△〜◯")+COUNTIF($C15:$N15,"△")+COUNTIF($C15:$N15,"×〜△")+COUNTIF($C15:$N15,"×")</f>
        <v/>
      </c>
      <c r="Q15" s="20">
        <f>COUNTIF($C15:$N15,"×")</f>
        <v/>
      </c>
      <c r="R15" s="20">
        <f>COUNTIF($C15,"×")+COUNTIF($D15,"×")+COUNTIF($F15,"×")+COUNTIF($I15,"×")</f>
        <v/>
      </c>
      <c r="S15" s="20">
        <f>IF($P15=0,"未入力",IF($R15&gt;0,"C：見送り（Must項目に×）",IF($Q15&gt;=2,"C：見送り（×が2項目以上）",IF($P15&lt;6,"B：追加情報を取得して再判定",IF(AND($Q15=0,$O15/($P15*2)&gt;=0.75),"A：進める（トップ面談・基本合意検討へ）","B：追加情報を取得して再判定")))))</f>
        <v/>
      </c>
      <c r="T15" s="21">
        <f>IF($P15=0,"",$O15/($P15*2))</f>
        <v/>
      </c>
    </row>
    <row r="16">
      <c r="A16" s="22" t="n"/>
      <c r="B16" s="17">
        <f>IF($A16="","",IFERROR(INDEX(案件管理!$E:$E,MATCH($A16,案件管理!$A:$A,0)),""))</f>
        <v/>
      </c>
      <c r="C16" s="23" t="n"/>
      <c r="D16" s="23" t="n"/>
      <c r="E16" s="23" t="n"/>
      <c r="F16" s="23" t="n"/>
      <c r="G16" s="23" t="n"/>
      <c r="H16" s="23" t="n"/>
      <c r="I16" s="23" t="n"/>
      <c r="J16" s="23" t="n"/>
      <c r="K16" s="23" t="n"/>
      <c r="L16" s="23" t="n"/>
      <c r="M16" s="23" t="n"/>
      <c r="N16" s="23" t="n"/>
      <c r="O16" s="19">
        <f>COUNTIF($C16:$N16,"◯")*2+COUNTIF($C16:$N16,"△〜◯")*1.5+COUNTIF($C16:$N16,"△")*1+COUNTIF($C16:$N16,"×〜△")*0.5</f>
        <v/>
      </c>
      <c r="P16" s="20">
        <f>COUNTIF($C16:$N16,"◯")+COUNTIF($C16:$N16,"△〜◯")+COUNTIF($C16:$N16,"△")+COUNTIF($C16:$N16,"×〜△")+COUNTIF($C16:$N16,"×")</f>
        <v/>
      </c>
      <c r="Q16" s="20">
        <f>COUNTIF($C16:$N16,"×")</f>
        <v/>
      </c>
      <c r="R16" s="20">
        <f>COUNTIF($C16,"×")+COUNTIF($D16,"×")+COUNTIF($F16,"×")+COUNTIF($I16,"×")</f>
        <v/>
      </c>
      <c r="S16" s="20">
        <f>IF($P16=0,"未入力",IF($R16&gt;0,"C：見送り（Must項目に×）",IF($Q16&gt;=2,"C：見送り（×が2項目以上）",IF($P16&lt;6,"B：追加情報を取得して再判定",IF(AND($Q16=0,$O16/($P16*2)&gt;=0.75),"A：進める（トップ面談・基本合意検討へ）","B：追加情報を取得して再判定")))))</f>
        <v/>
      </c>
      <c r="T16" s="21">
        <f>IF($P16=0,"",$O16/($P16*2))</f>
        <v/>
      </c>
    </row>
    <row r="17">
      <c r="A17" s="22" t="n"/>
      <c r="B17" s="17">
        <f>IF($A17="","",IFERROR(INDEX(案件管理!$E:$E,MATCH($A17,案件管理!$A:$A,0)),""))</f>
        <v/>
      </c>
      <c r="C17" s="23" t="n"/>
      <c r="D17" s="23" t="n"/>
      <c r="E17" s="23" t="n"/>
      <c r="F17" s="23" t="n"/>
      <c r="G17" s="23" t="n"/>
      <c r="H17" s="23" t="n"/>
      <c r="I17" s="23" t="n"/>
      <c r="J17" s="23" t="n"/>
      <c r="K17" s="23" t="n"/>
      <c r="L17" s="23" t="n"/>
      <c r="M17" s="23" t="n"/>
      <c r="N17" s="23" t="n"/>
      <c r="O17" s="19">
        <f>COUNTIF($C17:$N17,"◯")*2+COUNTIF($C17:$N17,"△〜◯")*1.5+COUNTIF($C17:$N17,"△")*1+COUNTIF($C17:$N17,"×〜△")*0.5</f>
        <v/>
      </c>
      <c r="P17" s="20">
        <f>COUNTIF($C17:$N17,"◯")+COUNTIF($C17:$N17,"△〜◯")+COUNTIF($C17:$N17,"△")+COUNTIF($C17:$N17,"×〜△")+COUNTIF($C17:$N17,"×")</f>
        <v/>
      </c>
      <c r="Q17" s="20">
        <f>COUNTIF($C17:$N17,"×")</f>
        <v/>
      </c>
      <c r="R17" s="20">
        <f>COUNTIF($C17,"×")+COUNTIF($D17,"×")+COUNTIF($F17,"×")+COUNTIF($I17,"×")</f>
        <v/>
      </c>
      <c r="S17" s="20">
        <f>IF($P17=0,"未入力",IF($R17&gt;0,"C：見送り（Must項目に×）",IF($Q17&gt;=2,"C：見送り（×が2項目以上）",IF($P17&lt;6,"B：追加情報を取得して再判定",IF(AND($Q17=0,$O17/($P17*2)&gt;=0.75),"A：進める（トップ面談・基本合意検討へ）","B：追加情報を取得して再判定")))))</f>
        <v/>
      </c>
      <c r="T17" s="21">
        <f>IF($P17=0,"",$O17/($P17*2))</f>
        <v/>
      </c>
    </row>
    <row r="18">
      <c r="A18" s="22" t="n"/>
      <c r="B18" s="17">
        <f>IF($A18="","",IFERROR(INDEX(案件管理!$E:$E,MATCH($A18,案件管理!$A:$A,0)),""))</f>
        <v/>
      </c>
      <c r="C18" s="23" t="n"/>
      <c r="D18" s="23" t="n"/>
      <c r="E18" s="23" t="n"/>
      <c r="F18" s="23" t="n"/>
      <c r="G18" s="23" t="n"/>
      <c r="H18" s="23" t="n"/>
      <c r="I18" s="23" t="n"/>
      <c r="J18" s="23" t="n"/>
      <c r="K18" s="23" t="n"/>
      <c r="L18" s="23" t="n"/>
      <c r="M18" s="23" t="n"/>
      <c r="N18" s="23" t="n"/>
      <c r="O18" s="19">
        <f>COUNTIF($C18:$N18,"◯")*2+COUNTIF($C18:$N18,"△〜◯")*1.5+COUNTIF($C18:$N18,"△")*1+COUNTIF($C18:$N18,"×〜△")*0.5</f>
        <v/>
      </c>
      <c r="P18" s="20">
        <f>COUNTIF($C18:$N18,"◯")+COUNTIF($C18:$N18,"△〜◯")+COUNTIF($C18:$N18,"△")+COUNTIF($C18:$N18,"×〜△")+COUNTIF($C18:$N18,"×")</f>
        <v/>
      </c>
      <c r="Q18" s="20">
        <f>COUNTIF($C18:$N18,"×")</f>
        <v/>
      </c>
      <c r="R18" s="20">
        <f>COUNTIF($C18,"×")+COUNTIF($D18,"×")+COUNTIF($F18,"×")+COUNTIF($I18,"×")</f>
        <v/>
      </c>
      <c r="S18" s="20">
        <f>IF($P18=0,"未入力",IF($R18&gt;0,"C：見送り（Must項目に×）",IF($Q18&gt;=2,"C：見送り（×が2項目以上）",IF($P18&lt;6,"B：追加情報を取得して再判定",IF(AND($Q18=0,$O18/($P18*2)&gt;=0.75),"A：進める（トップ面談・基本合意検討へ）","B：追加情報を取得して再判定")))))</f>
        <v/>
      </c>
      <c r="T18" s="21">
        <f>IF($P18=0,"",$O18/($P18*2))</f>
        <v/>
      </c>
    </row>
    <row r="19">
      <c r="A19" s="22" t="n"/>
      <c r="B19" s="17">
        <f>IF($A19="","",IFERROR(INDEX(案件管理!$E:$E,MATCH($A19,案件管理!$A:$A,0)),""))</f>
        <v/>
      </c>
      <c r="C19" s="23" t="n"/>
      <c r="D19" s="23" t="n"/>
      <c r="E19" s="23" t="n"/>
      <c r="F19" s="23" t="n"/>
      <c r="G19" s="23" t="n"/>
      <c r="H19" s="23" t="n"/>
      <c r="I19" s="23" t="n"/>
      <c r="J19" s="23" t="n"/>
      <c r="K19" s="23" t="n"/>
      <c r="L19" s="23" t="n"/>
      <c r="M19" s="23" t="n"/>
      <c r="N19" s="23" t="n"/>
      <c r="O19" s="19">
        <f>COUNTIF($C19:$N19,"◯")*2+COUNTIF($C19:$N19,"△〜◯")*1.5+COUNTIF($C19:$N19,"△")*1+COUNTIF($C19:$N19,"×〜△")*0.5</f>
        <v/>
      </c>
      <c r="P19" s="20">
        <f>COUNTIF($C19:$N19,"◯")+COUNTIF($C19:$N19,"△〜◯")+COUNTIF($C19:$N19,"△")+COUNTIF($C19:$N19,"×〜△")+COUNTIF($C19:$N19,"×")</f>
        <v/>
      </c>
      <c r="Q19" s="20">
        <f>COUNTIF($C19:$N19,"×")</f>
        <v/>
      </c>
      <c r="R19" s="20">
        <f>COUNTIF($C19,"×")+COUNTIF($D19,"×")+COUNTIF($F19,"×")+COUNTIF($I19,"×")</f>
        <v/>
      </c>
      <c r="S19" s="20">
        <f>IF($P19=0,"未入力",IF($R19&gt;0,"C：見送り（Must項目に×）",IF($Q19&gt;=2,"C：見送り（×が2項目以上）",IF($P19&lt;6,"B：追加情報を取得して再判定",IF(AND($Q19=0,$O19/($P19*2)&gt;=0.75),"A：進める（トップ面談・基本合意検討へ）","B：追加情報を取得して再判定")))))</f>
        <v/>
      </c>
      <c r="T19" s="21">
        <f>IF($P19=0,"",$O19/($P19*2))</f>
        <v/>
      </c>
    </row>
    <row r="20">
      <c r="A20" s="22" t="n"/>
      <c r="B20" s="17">
        <f>IF($A20="","",IFERROR(INDEX(案件管理!$E:$E,MATCH($A20,案件管理!$A:$A,0)),""))</f>
        <v/>
      </c>
      <c r="C20" s="23" t="n"/>
      <c r="D20" s="23" t="n"/>
      <c r="E20" s="23" t="n"/>
      <c r="F20" s="23" t="n"/>
      <c r="G20" s="23" t="n"/>
      <c r="H20" s="23" t="n"/>
      <c r="I20" s="23" t="n"/>
      <c r="J20" s="23" t="n"/>
      <c r="K20" s="23" t="n"/>
      <c r="L20" s="23" t="n"/>
      <c r="M20" s="23" t="n"/>
      <c r="N20" s="23" t="n"/>
      <c r="O20" s="19">
        <f>COUNTIF($C20:$N20,"◯")*2+COUNTIF($C20:$N20,"△〜◯")*1.5+COUNTIF($C20:$N20,"△")*1+COUNTIF($C20:$N20,"×〜△")*0.5</f>
        <v/>
      </c>
      <c r="P20" s="20">
        <f>COUNTIF($C20:$N20,"◯")+COUNTIF($C20:$N20,"△〜◯")+COUNTIF($C20:$N20,"△")+COUNTIF($C20:$N20,"×〜△")+COUNTIF($C20:$N20,"×")</f>
        <v/>
      </c>
      <c r="Q20" s="20">
        <f>COUNTIF($C20:$N20,"×")</f>
        <v/>
      </c>
      <c r="R20" s="20">
        <f>COUNTIF($C20,"×")+COUNTIF($D20,"×")+COUNTIF($F20,"×")+COUNTIF($I20,"×")</f>
        <v/>
      </c>
      <c r="S20" s="20">
        <f>IF($P20=0,"未入力",IF($R20&gt;0,"C：見送り（Must項目に×）",IF($Q20&gt;=2,"C：見送り（×が2項目以上）",IF($P20&lt;6,"B：追加情報を取得して再判定",IF(AND($Q20=0,$O20/($P20*2)&gt;=0.75),"A：進める（トップ面談・基本合意検討へ）","B：追加情報を取得して再判定")))))</f>
        <v/>
      </c>
      <c r="T20" s="21">
        <f>IF($P20=0,"",$O20/($P20*2))</f>
        <v/>
      </c>
    </row>
    <row r="21">
      <c r="A21" s="22" t="n"/>
      <c r="B21" s="17">
        <f>IF($A21="","",IFERROR(INDEX(案件管理!$E:$E,MATCH($A21,案件管理!$A:$A,0)),""))</f>
        <v/>
      </c>
      <c r="C21" s="23" t="n"/>
      <c r="D21" s="23" t="n"/>
      <c r="E21" s="23" t="n"/>
      <c r="F21" s="23" t="n"/>
      <c r="G21" s="23" t="n"/>
      <c r="H21" s="23" t="n"/>
      <c r="I21" s="23" t="n"/>
      <c r="J21" s="23" t="n"/>
      <c r="K21" s="23" t="n"/>
      <c r="L21" s="23" t="n"/>
      <c r="M21" s="23" t="n"/>
      <c r="N21" s="23" t="n"/>
      <c r="O21" s="19">
        <f>COUNTIF($C21:$N21,"◯")*2+COUNTIF($C21:$N21,"△〜◯")*1.5+COUNTIF($C21:$N21,"△")*1+COUNTIF($C21:$N21,"×〜△")*0.5</f>
        <v/>
      </c>
      <c r="P21" s="20">
        <f>COUNTIF($C21:$N21,"◯")+COUNTIF($C21:$N21,"△〜◯")+COUNTIF($C21:$N21,"△")+COUNTIF($C21:$N21,"×〜△")+COUNTIF($C21:$N21,"×")</f>
        <v/>
      </c>
      <c r="Q21" s="20">
        <f>COUNTIF($C21:$N21,"×")</f>
        <v/>
      </c>
      <c r="R21" s="20">
        <f>COUNTIF($C21,"×")+COUNTIF($D21,"×")+COUNTIF($F21,"×")+COUNTIF($I21,"×")</f>
        <v/>
      </c>
      <c r="S21" s="20">
        <f>IF($P21=0,"未入力",IF($R21&gt;0,"C：見送り（Must項目に×）",IF($Q21&gt;=2,"C：見送り（×が2項目以上）",IF($P21&lt;6,"B：追加情報を取得して再判定",IF(AND($Q21=0,$O21/($P21*2)&gt;=0.75),"A：進める（トップ面談・基本合意検討へ）","B：追加情報を取得して再判定")))))</f>
        <v/>
      </c>
      <c r="T21" s="21">
        <f>IF($P21=0,"",$O21/($P21*2))</f>
        <v/>
      </c>
    </row>
    <row r="22">
      <c r="A22" s="22" t="n"/>
      <c r="B22" s="17">
        <f>IF($A22="","",IFERROR(INDEX(案件管理!$E:$E,MATCH($A22,案件管理!$A:$A,0)),""))</f>
        <v/>
      </c>
      <c r="C22" s="23" t="n"/>
      <c r="D22" s="23" t="n"/>
      <c r="E22" s="23" t="n"/>
      <c r="F22" s="23" t="n"/>
      <c r="G22" s="23" t="n"/>
      <c r="H22" s="23" t="n"/>
      <c r="I22" s="23" t="n"/>
      <c r="J22" s="23" t="n"/>
      <c r="K22" s="23" t="n"/>
      <c r="L22" s="23" t="n"/>
      <c r="M22" s="23" t="n"/>
      <c r="N22" s="23" t="n"/>
      <c r="O22" s="19">
        <f>COUNTIF($C22:$N22,"◯")*2+COUNTIF($C22:$N22,"△〜◯")*1.5+COUNTIF($C22:$N22,"△")*1+COUNTIF($C22:$N22,"×〜△")*0.5</f>
        <v/>
      </c>
      <c r="P22" s="20">
        <f>COUNTIF($C22:$N22,"◯")+COUNTIF($C22:$N22,"△〜◯")+COUNTIF($C22:$N22,"△")+COUNTIF($C22:$N22,"×〜△")+COUNTIF($C22:$N22,"×")</f>
        <v/>
      </c>
      <c r="Q22" s="20">
        <f>COUNTIF($C22:$N22,"×")</f>
        <v/>
      </c>
      <c r="R22" s="20">
        <f>COUNTIF($C22,"×")+COUNTIF($D22,"×")+COUNTIF($F22,"×")+COUNTIF($I22,"×")</f>
        <v/>
      </c>
      <c r="S22" s="20">
        <f>IF($P22=0,"未入力",IF($R22&gt;0,"C：見送り（Must項目に×）",IF($Q22&gt;=2,"C：見送り（×が2項目以上）",IF($P22&lt;6,"B：追加情報を取得して再判定",IF(AND($Q22=0,$O22/($P22*2)&gt;=0.75),"A：進める（トップ面談・基本合意検討へ）","B：追加情報を取得して再判定")))))</f>
        <v/>
      </c>
      <c r="T22" s="21">
        <f>IF($P22=0,"",$O22/($P22*2))</f>
        <v/>
      </c>
    </row>
    <row r="23">
      <c r="A23" s="22" t="n"/>
      <c r="B23" s="17">
        <f>IF($A23="","",IFERROR(INDEX(案件管理!$E:$E,MATCH($A23,案件管理!$A:$A,0)),""))</f>
        <v/>
      </c>
      <c r="C23" s="23" t="n"/>
      <c r="D23" s="23" t="n"/>
      <c r="E23" s="23" t="n"/>
      <c r="F23" s="23" t="n"/>
      <c r="G23" s="23" t="n"/>
      <c r="H23" s="23" t="n"/>
      <c r="I23" s="23" t="n"/>
      <c r="J23" s="23" t="n"/>
      <c r="K23" s="23" t="n"/>
      <c r="L23" s="23" t="n"/>
      <c r="M23" s="23" t="n"/>
      <c r="N23" s="23" t="n"/>
      <c r="O23" s="19">
        <f>COUNTIF($C23:$N23,"◯")*2+COUNTIF($C23:$N23,"△〜◯")*1.5+COUNTIF($C23:$N23,"△")*1+COUNTIF($C23:$N23,"×〜△")*0.5</f>
        <v/>
      </c>
      <c r="P23" s="20">
        <f>COUNTIF($C23:$N23,"◯")+COUNTIF($C23:$N23,"△〜◯")+COUNTIF($C23:$N23,"△")+COUNTIF($C23:$N23,"×〜△")+COUNTIF($C23:$N23,"×")</f>
        <v/>
      </c>
      <c r="Q23" s="20">
        <f>COUNTIF($C23:$N23,"×")</f>
        <v/>
      </c>
      <c r="R23" s="20">
        <f>COUNTIF($C23,"×")+COUNTIF($D23,"×")+COUNTIF($F23,"×")+COUNTIF($I23,"×")</f>
        <v/>
      </c>
      <c r="S23" s="20">
        <f>IF($P23=0,"未入力",IF($R23&gt;0,"C：見送り（Must項目に×）",IF($Q23&gt;=2,"C：見送り（×が2項目以上）",IF($P23&lt;6,"B：追加情報を取得して再判定",IF(AND($Q23=0,$O23/($P23*2)&gt;=0.75),"A：進める（トップ面談・基本合意検討へ）","B：追加情報を取得して再判定")))))</f>
        <v/>
      </c>
      <c r="T23" s="21">
        <f>IF($P23=0,"",$O23/($P23*2))</f>
        <v/>
      </c>
    </row>
    <row r="24">
      <c r="A24" s="22" t="n"/>
      <c r="B24" s="17">
        <f>IF($A24="","",IFERROR(INDEX(案件管理!$E:$E,MATCH($A24,案件管理!$A:$A,0)),""))</f>
        <v/>
      </c>
      <c r="C24" s="23" t="n"/>
      <c r="D24" s="23" t="n"/>
      <c r="E24" s="23" t="n"/>
      <c r="F24" s="23" t="n"/>
      <c r="G24" s="23" t="n"/>
      <c r="H24" s="23" t="n"/>
      <c r="I24" s="23" t="n"/>
      <c r="J24" s="23" t="n"/>
      <c r="K24" s="23" t="n"/>
      <c r="L24" s="23" t="n"/>
      <c r="M24" s="23" t="n"/>
      <c r="N24" s="23" t="n"/>
      <c r="O24" s="19">
        <f>COUNTIF($C24:$N24,"◯")*2+COUNTIF($C24:$N24,"△〜◯")*1.5+COUNTIF($C24:$N24,"△")*1+COUNTIF($C24:$N24,"×〜△")*0.5</f>
        <v/>
      </c>
      <c r="P24" s="20">
        <f>COUNTIF($C24:$N24,"◯")+COUNTIF($C24:$N24,"△〜◯")+COUNTIF($C24:$N24,"△")+COUNTIF($C24:$N24,"×〜△")+COUNTIF($C24:$N24,"×")</f>
        <v/>
      </c>
      <c r="Q24" s="20">
        <f>COUNTIF($C24:$N24,"×")</f>
        <v/>
      </c>
      <c r="R24" s="20">
        <f>COUNTIF($C24,"×")+COUNTIF($D24,"×")+COUNTIF($F24,"×")+COUNTIF($I24,"×")</f>
        <v/>
      </c>
      <c r="S24" s="20">
        <f>IF($P24=0,"未入力",IF($R24&gt;0,"C：見送り（Must項目に×）",IF($Q24&gt;=2,"C：見送り（×が2項目以上）",IF($P24&lt;6,"B：追加情報を取得して再判定",IF(AND($Q24=0,$O24/($P24*2)&gt;=0.75),"A：進める（トップ面談・基本合意検討へ）","B：追加情報を取得して再判定")))))</f>
        <v/>
      </c>
      <c r="T24" s="21">
        <f>IF($P24=0,"",$O24/($P24*2))</f>
        <v/>
      </c>
    </row>
    <row r="25">
      <c r="A25" s="22" t="n"/>
      <c r="B25" s="17">
        <f>IF($A25="","",IFERROR(INDEX(案件管理!$E:$E,MATCH($A25,案件管理!$A:$A,0)),""))</f>
        <v/>
      </c>
      <c r="C25" s="23" t="n"/>
      <c r="D25" s="23" t="n"/>
      <c r="E25" s="23" t="n"/>
      <c r="F25" s="23" t="n"/>
      <c r="G25" s="23" t="n"/>
      <c r="H25" s="23" t="n"/>
      <c r="I25" s="23" t="n"/>
      <c r="J25" s="23" t="n"/>
      <c r="K25" s="23" t="n"/>
      <c r="L25" s="23" t="n"/>
      <c r="M25" s="23" t="n"/>
      <c r="N25" s="23" t="n"/>
      <c r="O25" s="19">
        <f>COUNTIF($C25:$N25,"◯")*2+COUNTIF($C25:$N25,"△〜◯")*1.5+COUNTIF($C25:$N25,"△")*1+COUNTIF($C25:$N25,"×〜△")*0.5</f>
        <v/>
      </c>
      <c r="P25" s="20">
        <f>COUNTIF($C25:$N25,"◯")+COUNTIF($C25:$N25,"△〜◯")+COUNTIF($C25:$N25,"△")+COUNTIF($C25:$N25,"×〜△")+COUNTIF($C25:$N25,"×")</f>
        <v/>
      </c>
      <c r="Q25" s="20">
        <f>COUNTIF($C25:$N25,"×")</f>
        <v/>
      </c>
      <c r="R25" s="20">
        <f>COUNTIF($C25,"×")+COUNTIF($D25,"×")+COUNTIF($F25,"×")+COUNTIF($I25,"×")</f>
        <v/>
      </c>
      <c r="S25" s="20">
        <f>IF($P25=0,"未入力",IF($R25&gt;0,"C：見送り（Must項目に×）",IF($Q25&gt;=2,"C：見送り（×が2項目以上）",IF($P25&lt;6,"B：追加情報を取得して再判定",IF(AND($Q25=0,$O25/($P25*2)&gt;=0.75),"A：進める（トップ面談・基本合意検討へ）","B：追加情報を取得して再判定")))))</f>
        <v/>
      </c>
      <c r="T25" s="21">
        <f>IF($P25=0,"",$O25/($P25*2))</f>
        <v/>
      </c>
    </row>
    <row r="26">
      <c r="A26" s="22" t="n"/>
      <c r="B26" s="17">
        <f>IF($A26="","",IFERROR(INDEX(案件管理!$E:$E,MATCH($A26,案件管理!$A:$A,0)),""))</f>
        <v/>
      </c>
      <c r="C26" s="23" t="n"/>
      <c r="D26" s="23" t="n"/>
      <c r="E26" s="23" t="n"/>
      <c r="F26" s="23" t="n"/>
      <c r="G26" s="23" t="n"/>
      <c r="H26" s="23" t="n"/>
      <c r="I26" s="23" t="n"/>
      <c r="J26" s="23" t="n"/>
      <c r="K26" s="23" t="n"/>
      <c r="L26" s="23" t="n"/>
      <c r="M26" s="23" t="n"/>
      <c r="N26" s="23" t="n"/>
      <c r="O26" s="19">
        <f>COUNTIF($C26:$N26,"◯")*2+COUNTIF($C26:$N26,"△〜◯")*1.5+COUNTIF($C26:$N26,"△")*1+COUNTIF($C26:$N26,"×〜△")*0.5</f>
        <v/>
      </c>
      <c r="P26" s="20">
        <f>COUNTIF($C26:$N26,"◯")+COUNTIF($C26:$N26,"△〜◯")+COUNTIF($C26:$N26,"△")+COUNTIF($C26:$N26,"×〜△")+COUNTIF($C26:$N26,"×")</f>
        <v/>
      </c>
      <c r="Q26" s="20">
        <f>COUNTIF($C26:$N26,"×")</f>
        <v/>
      </c>
      <c r="R26" s="20">
        <f>COUNTIF($C26,"×")+COUNTIF($D26,"×")+COUNTIF($F26,"×")+COUNTIF($I26,"×")</f>
        <v/>
      </c>
      <c r="S26" s="20">
        <f>IF($P26=0,"未入力",IF($R26&gt;0,"C：見送り（Must項目に×）",IF($Q26&gt;=2,"C：見送り（×が2項目以上）",IF($P26&lt;6,"B：追加情報を取得して再判定",IF(AND($Q26=0,$O26/($P26*2)&gt;=0.75),"A：進める（トップ面談・基本合意検討へ）","B：追加情報を取得して再判定")))))</f>
        <v/>
      </c>
      <c r="T26" s="21">
        <f>IF($P26=0,"",$O26/($P26*2))</f>
        <v/>
      </c>
    </row>
    <row r="27">
      <c r="A27" s="22" t="n"/>
      <c r="B27" s="17">
        <f>IF($A27="","",IFERROR(INDEX(案件管理!$E:$E,MATCH($A27,案件管理!$A:$A,0)),""))</f>
        <v/>
      </c>
      <c r="C27" s="23" t="n"/>
      <c r="D27" s="23" t="n"/>
      <c r="E27" s="23" t="n"/>
      <c r="F27" s="23" t="n"/>
      <c r="G27" s="23" t="n"/>
      <c r="H27" s="23" t="n"/>
      <c r="I27" s="23" t="n"/>
      <c r="J27" s="23" t="n"/>
      <c r="K27" s="23" t="n"/>
      <c r="L27" s="23" t="n"/>
      <c r="M27" s="23" t="n"/>
      <c r="N27" s="23" t="n"/>
      <c r="O27" s="19">
        <f>COUNTIF($C27:$N27,"◯")*2+COUNTIF($C27:$N27,"△〜◯")*1.5+COUNTIF($C27:$N27,"△")*1+COUNTIF($C27:$N27,"×〜△")*0.5</f>
        <v/>
      </c>
      <c r="P27" s="20">
        <f>COUNTIF($C27:$N27,"◯")+COUNTIF($C27:$N27,"△〜◯")+COUNTIF($C27:$N27,"△")+COUNTIF($C27:$N27,"×〜△")+COUNTIF($C27:$N27,"×")</f>
        <v/>
      </c>
      <c r="Q27" s="20">
        <f>COUNTIF($C27:$N27,"×")</f>
        <v/>
      </c>
      <c r="R27" s="20">
        <f>COUNTIF($C27,"×")+COUNTIF($D27,"×")+COUNTIF($F27,"×")+COUNTIF($I27,"×")</f>
        <v/>
      </c>
      <c r="S27" s="20">
        <f>IF($P27=0,"未入力",IF($R27&gt;0,"C：見送り（Must項目に×）",IF($Q27&gt;=2,"C：見送り（×が2項目以上）",IF($P27&lt;6,"B：追加情報を取得して再判定",IF(AND($Q27=0,$O27/($P27*2)&gt;=0.75),"A：進める（トップ面談・基本合意検討へ）","B：追加情報を取得して再判定")))))</f>
        <v/>
      </c>
      <c r="T27" s="21">
        <f>IF($P27=0,"",$O27/($P27*2))</f>
        <v/>
      </c>
    </row>
    <row r="28">
      <c r="A28" s="22" t="n"/>
      <c r="B28" s="17">
        <f>IF($A28="","",IFERROR(INDEX(案件管理!$E:$E,MATCH($A28,案件管理!$A:$A,0)),""))</f>
        <v/>
      </c>
      <c r="C28" s="23" t="n"/>
      <c r="D28" s="23" t="n"/>
      <c r="E28" s="23" t="n"/>
      <c r="F28" s="23" t="n"/>
      <c r="G28" s="23" t="n"/>
      <c r="H28" s="23" t="n"/>
      <c r="I28" s="23" t="n"/>
      <c r="J28" s="23" t="n"/>
      <c r="K28" s="23" t="n"/>
      <c r="L28" s="23" t="n"/>
      <c r="M28" s="23" t="n"/>
      <c r="N28" s="23" t="n"/>
      <c r="O28" s="19">
        <f>COUNTIF($C28:$N28,"◯")*2+COUNTIF($C28:$N28,"△〜◯")*1.5+COUNTIF($C28:$N28,"△")*1+COUNTIF($C28:$N28,"×〜△")*0.5</f>
        <v/>
      </c>
      <c r="P28" s="20">
        <f>COUNTIF($C28:$N28,"◯")+COUNTIF($C28:$N28,"△〜◯")+COUNTIF($C28:$N28,"△")+COUNTIF($C28:$N28,"×〜△")+COUNTIF($C28:$N28,"×")</f>
        <v/>
      </c>
      <c r="Q28" s="20">
        <f>COUNTIF($C28:$N28,"×")</f>
        <v/>
      </c>
      <c r="R28" s="20">
        <f>COUNTIF($C28,"×")+COUNTIF($D28,"×")+COUNTIF($F28,"×")+COUNTIF($I28,"×")</f>
        <v/>
      </c>
      <c r="S28" s="20">
        <f>IF($P28=0,"未入力",IF($R28&gt;0,"C：見送り（Must項目に×）",IF($Q28&gt;=2,"C：見送り（×が2項目以上）",IF($P28&lt;6,"B：追加情報を取得して再判定",IF(AND($Q28=0,$O28/($P28*2)&gt;=0.75),"A：進める（トップ面談・基本合意検討へ）","B：追加情報を取得して再判定")))))</f>
        <v/>
      </c>
      <c r="T28" s="21">
        <f>IF($P28=0,"",$O28/($P28*2))</f>
        <v/>
      </c>
    </row>
    <row r="29">
      <c r="A29" s="22" t="n"/>
      <c r="B29" s="17">
        <f>IF($A29="","",IFERROR(INDEX(案件管理!$E:$E,MATCH($A29,案件管理!$A:$A,0)),""))</f>
        <v/>
      </c>
      <c r="C29" s="23" t="n"/>
      <c r="D29" s="23" t="n"/>
      <c r="E29" s="23" t="n"/>
      <c r="F29" s="23" t="n"/>
      <c r="G29" s="23" t="n"/>
      <c r="H29" s="23" t="n"/>
      <c r="I29" s="23" t="n"/>
      <c r="J29" s="23" t="n"/>
      <c r="K29" s="23" t="n"/>
      <c r="L29" s="23" t="n"/>
      <c r="M29" s="23" t="n"/>
      <c r="N29" s="23" t="n"/>
      <c r="O29" s="19">
        <f>COUNTIF($C29:$N29,"◯")*2+COUNTIF($C29:$N29,"△〜◯")*1.5+COUNTIF($C29:$N29,"△")*1+COUNTIF($C29:$N29,"×〜△")*0.5</f>
        <v/>
      </c>
      <c r="P29" s="20">
        <f>COUNTIF($C29:$N29,"◯")+COUNTIF($C29:$N29,"△〜◯")+COUNTIF($C29:$N29,"△")+COUNTIF($C29:$N29,"×〜△")+COUNTIF($C29:$N29,"×")</f>
        <v/>
      </c>
      <c r="Q29" s="20">
        <f>COUNTIF($C29:$N29,"×")</f>
        <v/>
      </c>
      <c r="R29" s="20">
        <f>COUNTIF($C29,"×")+COUNTIF($D29,"×")+COUNTIF($F29,"×")+COUNTIF($I29,"×")</f>
        <v/>
      </c>
      <c r="S29" s="20">
        <f>IF($P29=0,"未入力",IF($R29&gt;0,"C：見送り（Must項目に×）",IF($Q29&gt;=2,"C：見送り（×が2項目以上）",IF($P29&lt;6,"B：追加情報を取得して再判定",IF(AND($Q29=0,$O29/($P29*2)&gt;=0.75),"A：進める（トップ面談・基本合意検討へ）","B：追加情報を取得して再判定")))))</f>
        <v/>
      </c>
      <c r="T29" s="21">
        <f>IF($P29=0,"",$O29/($P29*2))</f>
        <v/>
      </c>
    </row>
    <row r="30">
      <c r="A30" s="22" t="n"/>
      <c r="B30" s="17">
        <f>IF($A30="","",IFERROR(INDEX(案件管理!$E:$E,MATCH($A30,案件管理!$A:$A,0)),""))</f>
        <v/>
      </c>
      <c r="C30" s="23" t="n"/>
      <c r="D30" s="23" t="n"/>
      <c r="E30" s="23" t="n"/>
      <c r="F30" s="23" t="n"/>
      <c r="G30" s="23" t="n"/>
      <c r="H30" s="23" t="n"/>
      <c r="I30" s="23" t="n"/>
      <c r="J30" s="23" t="n"/>
      <c r="K30" s="23" t="n"/>
      <c r="L30" s="23" t="n"/>
      <c r="M30" s="23" t="n"/>
      <c r="N30" s="23" t="n"/>
      <c r="O30" s="19">
        <f>COUNTIF($C30:$N30,"◯")*2+COUNTIF($C30:$N30,"△〜◯")*1.5+COUNTIF($C30:$N30,"△")*1+COUNTIF($C30:$N30,"×〜△")*0.5</f>
        <v/>
      </c>
      <c r="P30" s="20">
        <f>COUNTIF($C30:$N30,"◯")+COUNTIF($C30:$N30,"△〜◯")+COUNTIF($C30:$N30,"△")+COUNTIF($C30:$N30,"×〜△")+COUNTIF($C30:$N30,"×")</f>
        <v/>
      </c>
      <c r="Q30" s="20">
        <f>COUNTIF($C30:$N30,"×")</f>
        <v/>
      </c>
      <c r="R30" s="20">
        <f>COUNTIF($C30,"×")+COUNTIF($D30,"×")+COUNTIF($F30,"×")+COUNTIF($I30,"×")</f>
        <v/>
      </c>
      <c r="S30" s="20">
        <f>IF($P30=0,"未入力",IF($R30&gt;0,"C：見送り（Must項目に×）",IF($Q30&gt;=2,"C：見送り（×が2項目以上）",IF($P30&lt;6,"B：追加情報を取得して再判定",IF(AND($Q30=0,$O30/($P30*2)&gt;=0.75),"A：進める（トップ面談・基本合意検討へ）","B：追加情報を取得して再判定")))))</f>
        <v/>
      </c>
      <c r="T30" s="21">
        <f>IF($P30=0,"",$O30/($P30*2))</f>
        <v/>
      </c>
    </row>
    <row r="31">
      <c r="A31" s="22" t="n"/>
      <c r="B31" s="17">
        <f>IF($A31="","",IFERROR(INDEX(案件管理!$E:$E,MATCH($A31,案件管理!$A:$A,0)),""))</f>
        <v/>
      </c>
      <c r="C31" s="23" t="n"/>
      <c r="D31" s="23" t="n"/>
      <c r="E31" s="23" t="n"/>
      <c r="F31" s="23" t="n"/>
      <c r="G31" s="23" t="n"/>
      <c r="H31" s="23" t="n"/>
      <c r="I31" s="23" t="n"/>
      <c r="J31" s="23" t="n"/>
      <c r="K31" s="23" t="n"/>
      <c r="L31" s="23" t="n"/>
      <c r="M31" s="23" t="n"/>
      <c r="N31" s="23" t="n"/>
      <c r="O31" s="19">
        <f>COUNTIF($C31:$N31,"◯")*2+COUNTIF($C31:$N31,"△〜◯")*1.5+COUNTIF($C31:$N31,"△")*1+COUNTIF($C31:$N31,"×〜△")*0.5</f>
        <v/>
      </c>
      <c r="P31" s="20">
        <f>COUNTIF($C31:$N31,"◯")+COUNTIF($C31:$N31,"△〜◯")+COUNTIF($C31:$N31,"△")+COUNTIF($C31:$N31,"×〜△")+COUNTIF($C31:$N31,"×")</f>
        <v/>
      </c>
      <c r="Q31" s="20">
        <f>COUNTIF($C31:$N31,"×")</f>
        <v/>
      </c>
      <c r="R31" s="20">
        <f>COUNTIF($C31,"×")+COUNTIF($D31,"×")+COUNTIF($F31,"×")+COUNTIF($I31,"×")</f>
        <v/>
      </c>
      <c r="S31" s="20">
        <f>IF($P31=0,"未入力",IF($R31&gt;0,"C：見送り（Must項目に×）",IF($Q31&gt;=2,"C：見送り（×が2項目以上）",IF($P31&lt;6,"B：追加情報を取得して再判定",IF(AND($Q31=0,$O31/($P31*2)&gt;=0.75),"A：進める（トップ面談・基本合意検討へ）","B：追加情報を取得して再判定")))))</f>
        <v/>
      </c>
      <c r="T31" s="21">
        <f>IF($P31=0,"",$O31/($P31*2))</f>
        <v/>
      </c>
    </row>
    <row r="32">
      <c r="A32" s="22" t="n"/>
      <c r="B32" s="17">
        <f>IF($A32="","",IFERROR(INDEX(案件管理!$E:$E,MATCH($A32,案件管理!$A:$A,0)),""))</f>
        <v/>
      </c>
      <c r="C32" s="23" t="n"/>
      <c r="D32" s="23" t="n"/>
      <c r="E32" s="23" t="n"/>
      <c r="F32" s="23" t="n"/>
      <c r="G32" s="23" t="n"/>
      <c r="H32" s="23" t="n"/>
      <c r="I32" s="23" t="n"/>
      <c r="J32" s="23" t="n"/>
      <c r="K32" s="23" t="n"/>
      <c r="L32" s="23" t="n"/>
      <c r="M32" s="23" t="n"/>
      <c r="N32" s="23" t="n"/>
      <c r="O32" s="19">
        <f>COUNTIF($C32:$N32,"◯")*2+COUNTIF($C32:$N32,"△〜◯")*1.5+COUNTIF($C32:$N32,"△")*1+COUNTIF($C32:$N32,"×〜△")*0.5</f>
        <v/>
      </c>
      <c r="P32" s="20">
        <f>COUNTIF($C32:$N32,"◯")+COUNTIF($C32:$N32,"△〜◯")+COUNTIF($C32:$N32,"△")+COUNTIF($C32:$N32,"×〜△")+COUNTIF($C32:$N32,"×")</f>
        <v/>
      </c>
      <c r="Q32" s="20">
        <f>COUNTIF($C32:$N32,"×")</f>
        <v/>
      </c>
      <c r="R32" s="20">
        <f>COUNTIF($C32,"×")+COUNTIF($D32,"×")+COUNTIF($F32,"×")+COUNTIF($I32,"×")</f>
        <v/>
      </c>
      <c r="S32" s="20">
        <f>IF($P32=0,"未入力",IF($R32&gt;0,"C：見送り（Must項目に×）",IF($Q32&gt;=2,"C：見送り（×が2項目以上）",IF($P32&lt;6,"B：追加情報を取得して再判定",IF(AND($Q32=0,$O32/($P32*2)&gt;=0.75),"A：進める（トップ面談・基本合意検討へ）","B：追加情報を取得して再判定")))))</f>
        <v/>
      </c>
      <c r="T32" s="21">
        <f>IF($P32=0,"",$O32/($P32*2))</f>
        <v/>
      </c>
    </row>
    <row r="33">
      <c r="A33" s="22" t="n"/>
      <c r="B33" s="17">
        <f>IF($A33="","",IFERROR(INDEX(案件管理!$E:$E,MATCH($A33,案件管理!$A:$A,0)),""))</f>
        <v/>
      </c>
      <c r="C33" s="23" t="n"/>
      <c r="D33" s="23" t="n"/>
      <c r="E33" s="23" t="n"/>
      <c r="F33" s="23" t="n"/>
      <c r="G33" s="23" t="n"/>
      <c r="H33" s="23" t="n"/>
      <c r="I33" s="23" t="n"/>
      <c r="J33" s="23" t="n"/>
      <c r="K33" s="23" t="n"/>
      <c r="L33" s="23" t="n"/>
      <c r="M33" s="23" t="n"/>
      <c r="N33" s="23" t="n"/>
      <c r="O33" s="19">
        <f>COUNTIF($C33:$N33,"◯")*2+COUNTIF($C33:$N33,"△〜◯")*1.5+COUNTIF($C33:$N33,"△")*1+COUNTIF($C33:$N33,"×〜△")*0.5</f>
        <v/>
      </c>
      <c r="P33" s="20">
        <f>COUNTIF($C33:$N33,"◯")+COUNTIF($C33:$N33,"△〜◯")+COUNTIF($C33:$N33,"△")+COUNTIF($C33:$N33,"×〜△")+COUNTIF($C33:$N33,"×")</f>
        <v/>
      </c>
      <c r="Q33" s="20">
        <f>COUNTIF($C33:$N33,"×")</f>
        <v/>
      </c>
      <c r="R33" s="20">
        <f>COUNTIF($C33,"×")+COUNTIF($D33,"×")+COUNTIF($F33,"×")+COUNTIF($I33,"×")</f>
        <v/>
      </c>
      <c r="S33" s="20">
        <f>IF($P33=0,"未入力",IF($R33&gt;0,"C：見送り（Must項目に×）",IF($Q33&gt;=2,"C：見送り（×が2項目以上）",IF($P33&lt;6,"B：追加情報を取得して再判定",IF(AND($Q33=0,$O33/($P33*2)&gt;=0.75),"A：進める（トップ面談・基本合意検討へ）","B：追加情報を取得して再判定")))))</f>
        <v/>
      </c>
      <c r="T33" s="21">
        <f>IF($P33=0,"",$O33/($P33*2))</f>
        <v/>
      </c>
    </row>
    <row r="34">
      <c r="A34" s="22" t="n"/>
      <c r="B34" s="17">
        <f>IF($A34="","",IFERROR(INDEX(案件管理!$E:$E,MATCH($A34,案件管理!$A:$A,0)),""))</f>
        <v/>
      </c>
      <c r="C34" s="23" t="n"/>
      <c r="D34" s="23" t="n"/>
      <c r="E34" s="23" t="n"/>
      <c r="F34" s="23" t="n"/>
      <c r="G34" s="23" t="n"/>
      <c r="H34" s="23" t="n"/>
      <c r="I34" s="23" t="n"/>
      <c r="J34" s="23" t="n"/>
      <c r="K34" s="23" t="n"/>
      <c r="L34" s="23" t="n"/>
      <c r="M34" s="23" t="n"/>
      <c r="N34" s="23" t="n"/>
      <c r="O34" s="19">
        <f>COUNTIF($C34:$N34,"◯")*2+COUNTIF($C34:$N34,"△〜◯")*1.5+COUNTIF($C34:$N34,"△")*1+COUNTIF($C34:$N34,"×〜△")*0.5</f>
        <v/>
      </c>
      <c r="P34" s="20">
        <f>COUNTIF($C34:$N34,"◯")+COUNTIF($C34:$N34,"△〜◯")+COUNTIF($C34:$N34,"△")+COUNTIF($C34:$N34,"×〜△")+COUNTIF($C34:$N34,"×")</f>
        <v/>
      </c>
      <c r="Q34" s="20">
        <f>COUNTIF($C34:$N34,"×")</f>
        <v/>
      </c>
      <c r="R34" s="20">
        <f>COUNTIF($C34,"×")+COUNTIF($D34,"×")+COUNTIF($F34,"×")+COUNTIF($I34,"×")</f>
        <v/>
      </c>
      <c r="S34" s="20">
        <f>IF($P34=0,"未入力",IF($R34&gt;0,"C：見送り（Must項目に×）",IF($Q34&gt;=2,"C：見送り（×が2項目以上）",IF($P34&lt;6,"B：追加情報を取得して再判定",IF(AND($Q34=0,$O34/($P34*2)&gt;=0.75),"A：進める（トップ面談・基本合意検討へ）","B：追加情報を取得して再判定")))))</f>
        <v/>
      </c>
      <c r="T34" s="21">
        <f>IF($P34=0,"",$O34/($P34*2))</f>
        <v/>
      </c>
    </row>
    <row r="35">
      <c r="A35" s="22" t="n"/>
      <c r="B35" s="17">
        <f>IF($A35="","",IFERROR(INDEX(案件管理!$E:$E,MATCH($A35,案件管理!$A:$A,0)),""))</f>
        <v/>
      </c>
      <c r="C35" s="23" t="n"/>
      <c r="D35" s="23" t="n"/>
      <c r="E35" s="23" t="n"/>
      <c r="F35" s="23" t="n"/>
      <c r="G35" s="23" t="n"/>
      <c r="H35" s="23" t="n"/>
      <c r="I35" s="23" t="n"/>
      <c r="J35" s="23" t="n"/>
      <c r="K35" s="23" t="n"/>
      <c r="L35" s="23" t="n"/>
      <c r="M35" s="23" t="n"/>
      <c r="N35" s="23" t="n"/>
      <c r="O35" s="19">
        <f>COUNTIF($C35:$N35,"◯")*2+COUNTIF($C35:$N35,"△〜◯")*1.5+COUNTIF($C35:$N35,"△")*1+COUNTIF($C35:$N35,"×〜△")*0.5</f>
        <v/>
      </c>
      <c r="P35" s="20">
        <f>COUNTIF($C35:$N35,"◯")+COUNTIF($C35:$N35,"△〜◯")+COUNTIF($C35:$N35,"△")+COUNTIF($C35:$N35,"×〜△")+COUNTIF($C35:$N35,"×")</f>
        <v/>
      </c>
      <c r="Q35" s="20">
        <f>COUNTIF($C35:$N35,"×")</f>
        <v/>
      </c>
      <c r="R35" s="20">
        <f>COUNTIF($C35,"×")+COUNTIF($D35,"×")+COUNTIF($F35,"×")+COUNTIF($I35,"×")</f>
        <v/>
      </c>
      <c r="S35" s="20">
        <f>IF($P35=0,"未入力",IF($R35&gt;0,"C：見送り（Must項目に×）",IF($Q35&gt;=2,"C：見送り（×が2項目以上）",IF($P35&lt;6,"B：追加情報を取得して再判定",IF(AND($Q35=0,$O35/($P35*2)&gt;=0.75),"A：進める（トップ面談・基本合意検討へ）","B：追加情報を取得して再判定")))))</f>
        <v/>
      </c>
      <c r="T35" s="21">
        <f>IF($P35=0,"",$O35/($P35*2))</f>
        <v/>
      </c>
    </row>
    <row r="36">
      <c r="A36" s="22" t="n"/>
      <c r="B36" s="17">
        <f>IF($A36="","",IFERROR(INDEX(案件管理!$E:$E,MATCH($A36,案件管理!$A:$A,0)),""))</f>
        <v/>
      </c>
      <c r="C36" s="23" t="n"/>
      <c r="D36" s="23" t="n"/>
      <c r="E36" s="23" t="n"/>
      <c r="F36" s="23" t="n"/>
      <c r="G36" s="23" t="n"/>
      <c r="H36" s="23" t="n"/>
      <c r="I36" s="23" t="n"/>
      <c r="J36" s="23" t="n"/>
      <c r="K36" s="23" t="n"/>
      <c r="L36" s="23" t="n"/>
      <c r="M36" s="23" t="n"/>
      <c r="N36" s="23" t="n"/>
      <c r="O36" s="19">
        <f>COUNTIF($C36:$N36,"◯")*2+COUNTIF($C36:$N36,"△〜◯")*1.5+COUNTIF($C36:$N36,"△")*1+COUNTIF($C36:$N36,"×〜△")*0.5</f>
        <v/>
      </c>
      <c r="P36" s="20">
        <f>COUNTIF($C36:$N36,"◯")+COUNTIF($C36:$N36,"△〜◯")+COUNTIF($C36:$N36,"△")+COUNTIF($C36:$N36,"×〜△")+COUNTIF($C36:$N36,"×")</f>
        <v/>
      </c>
      <c r="Q36" s="20">
        <f>COUNTIF($C36:$N36,"×")</f>
        <v/>
      </c>
      <c r="R36" s="20">
        <f>COUNTIF($C36,"×")+COUNTIF($D36,"×")+COUNTIF($F36,"×")+COUNTIF($I36,"×")</f>
        <v/>
      </c>
      <c r="S36" s="20">
        <f>IF($P36=0,"未入力",IF($R36&gt;0,"C：見送り（Must項目に×）",IF($Q36&gt;=2,"C：見送り（×が2項目以上）",IF($P36&lt;6,"B：追加情報を取得して再判定",IF(AND($Q36=0,$O36/($P36*2)&gt;=0.75),"A：進める（トップ面談・基本合意検討へ）","B：追加情報を取得して再判定")))))</f>
        <v/>
      </c>
      <c r="T36" s="21">
        <f>IF($P36=0,"",$O36/($P36*2))</f>
        <v/>
      </c>
    </row>
    <row r="37">
      <c r="A37" s="22" t="n"/>
      <c r="B37" s="17">
        <f>IF($A37="","",IFERROR(INDEX(案件管理!$E:$E,MATCH($A37,案件管理!$A:$A,0)),""))</f>
        <v/>
      </c>
      <c r="C37" s="23" t="n"/>
      <c r="D37" s="23" t="n"/>
      <c r="E37" s="23" t="n"/>
      <c r="F37" s="23" t="n"/>
      <c r="G37" s="23" t="n"/>
      <c r="H37" s="23" t="n"/>
      <c r="I37" s="23" t="n"/>
      <c r="J37" s="23" t="n"/>
      <c r="K37" s="23" t="n"/>
      <c r="L37" s="23" t="n"/>
      <c r="M37" s="23" t="n"/>
      <c r="N37" s="23" t="n"/>
      <c r="O37" s="19">
        <f>COUNTIF($C37:$N37,"◯")*2+COUNTIF($C37:$N37,"△〜◯")*1.5+COUNTIF($C37:$N37,"△")*1+COUNTIF($C37:$N37,"×〜△")*0.5</f>
        <v/>
      </c>
      <c r="P37" s="20">
        <f>COUNTIF($C37:$N37,"◯")+COUNTIF($C37:$N37,"△〜◯")+COUNTIF($C37:$N37,"△")+COUNTIF($C37:$N37,"×〜△")+COUNTIF($C37:$N37,"×")</f>
        <v/>
      </c>
      <c r="Q37" s="20">
        <f>COUNTIF($C37:$N37,"×")</f>
        <v/>
      </c>
      <c r="R37" s="20">
        <f>COUNTIF($C37,"×")+COUNTIF($D37,"×")+COUNTIF($F37,"×")+COUNTIF($I37,"×")</f>
        <v/>
      </c>
      <c r="S37" s="20">
        <f>IF($P37=0,"未入力",IF($R37&gt;0,"C：見送り（Must項目に×）",IF($Q37&gt;=2,"C：見送り（×が2項目以上）",IF($P37&lt;6,"B：追加情報を取得して再判定",IF(AND($Q37=0,$O37/($P37*2)&gt;=0.75),"A：進める（トップ面談・基本合意検討へ）","B：追加情報を取得して再判定")))))</f>
        <v/>
      </c>
      <c r="T37" s="21">
        <f>IF($P37=0,"",$O37/($P37*2))</f>
        <v/>
      </c>
    </row>
    <row r="38">
      <c r="A38" s="22" t="n"/>
      <c r="B38" s="17">
        <f>IF($A38="","",IFERROR(INDEX(案件管理!$E:$E,MATCH($A38,案件管理!$A:$A,0)),""))</f>
        <v/>
      </c>
      <c r="C38" s="23" t="n"/>
      <c r="D38" s="23" t="n"/>
      <c r="E38" s="23" t="n"/>
      <c r="F38" s="23" t="n"/>
      <c r="G38" s="23" t="n"/>
      <c r="H38" s="23" t="n"/>
      <c r="I38" s="23" t="n"/>
      <c r="J38" s="23" t="n"/>
      <c r="K38" s="23" t="n"/>
      <c r="L38" s="23" t="n"/>
      <c r="M38" s="23" t="n"/>
      <c r="N38" s="23" t="n"/>
      <c r="O38" s="19">
        <f>COUNTIF($C38:$N38,"◯")*2+COUNTIF($C38:$N38,"△〜◯")*1.5+COUNTIF($C38:$N38,"△")*1+COUNTIF($C38:$N38,"×〜△")*0.5</f>
        <v/>
      </c>
      <c r="P38" s="20">
        <f>COUNTIF($C38:$N38,"◯")+COUNTIF($C38:$N38,"△〜◯")+COUNTIF($C38:$N38,"△")+COUNTIF($C38:$N38,"×〜△")+COUNTIF($C38:$N38,"×")</f>
        <v/>
      </c>
      <c r="Q38" s="20">
        <f>COUNTIF($C38:$N38,"×")</f>
        <v/>
      </c>
      <c r="R38" s="20">
        <f>COUNTIF($C38,"×")+COUNTIF($D38,"×")+COUNTIF($F38,"×")+COUNTIF($I38,"×")</f>
        <v/>
      </c>
      <c r="S38" s="20">
        <f>IF($P38=0,"未入力",IF($R38&gt;0,"C：見送り（Must項目に×）",IF($Q38&gt;=2,"C：見送り（×が2項目以上）",IF($P38&lt;6,"B：追加情報を取得して再判定",IF(AND($Q38=0,$O38/($P38*2)&gt;=0.75),"A：進める（トップ面談・基本合意検討へ）","B：追加情報を取得して再判定")))))</f>
        <v/>
      </c>
      <c r="T38" s="21">
        <f>IF($P38=0,"",$O38/($P38*2))</f>
        <v/>
      </c>
    </row>
    <row r="39">
      <c r="A39" s="22" t="n"/>
      <c r="B39" s="17">
        <f>IF($A39="","",IFERROR(INDEX(案件管理!$E:$E,MATCH($A39,案件管理!$A:$A,0)),""))</f>
        <v/>
      </c>
      <c r="C39" s="23" t="n"/>
      <c r="D39" s="23" t="n"/>
      <c r="E39" s="23" t="n"/>
      <c r="F39" s="23" t="n"/>
      <c r="G39" s="23" t="n"/>
      <c r="H39" s="23" t="n"/>
      <c r="I39" s="23" t="n"/>
      <c r="J39" s="23" t="n"/>
      <c r="K39" s="23" t="n"/>
      <c r="L39" s="23" t="n"/>
      <c r="M39" s="23" t="n"/>
      <c r="N39" s="23" t="n"/>
      <c r="O39" s="19">
        <f>COUNTIF($C39:$N39,"◯")*2+COUNTIF($C39:$N39,"△〜◯")*1.5+COUNTIF($C39:$N39,"△")*1+COUNTIF($C39:$N39,"×〜△")*0.5</f>
        <v/>
      </c>
      <c r="P39" s="20">
        <f>COUNTIF($C39:$N39,"◯")+COUNTIF($C39:$N39,"△〜◯")+COUNTIF($C39:$N39,"△")+COUNTIF($C39:$N39,"×〜△")+COUNTIF($C39:$N39,"×")</f>
        <v/>
      </c>
      <c r="Q39" s="20">
        <f>COUNTIF($C39:$N39,"×")</f>
        <v/>
      </c>
      <c r="R39" s="20">
        <f>COUNTIF($C39,"×")+COUNTIF($D39,"×")+COUNTIF($F39,"×")+COUNTIF($I39,"×")</f>
        <v/>
      </c>
      <c r="S39" s="20">
        <f>IF($P39=0,"未入力",IF($R39&gt;0,"C：見送り（Must項目に×）",IF($Q39&gt;=2,"C：見送り（×が2項目以上）",IF($P39&lt;6,"B：追加情報を取得して再判定",IF(AND($Q39=0,$O39/($P39*2)&gt;=0.75),"A：進める（トップ面談・基本合意検討へ）","B：追加情報を取得して再判定")))))</f>
        <v/>
      </c>
      <c r="T39" s="21">
        <f>IF($P39=0,"",$O39/($P39*2))</f>
        <v/>
      </c>
    </row>
    <row r="40">
      <c r="A40" s="22" t="n"/>
      <c r="B40" s="17">
        <f>IF($A40="","",IFERROR(INDEX(案件管理!$E:$E,MATCH($A40,案件管理!$A:$A,0)),""))</f>
        <v/>
      </c>
      <c r="C40" s="23" t="n"/>
      <c r="D40" s="23" t="n"/>
      <c r="E40" s="23" t="n"/>
      <c r="F40" s="23" t="n"/>
      <c r="G40" s="23" t="n"/>
      <c r="H40" s="23" t="n"/>
      <c r="I40" s="23" t="n"/>
      <c r="J40" s="23" t="n"/>
      <c r="K40" s="23" t="n"/>
      <c r="L40" s="23" t="n"/>
      <c r="M40" s="23" t="n"/>
      <c r="N40" s="23" t="n"/>
      <c r="O40" s="19">
        <f>COUNTIF($C40:$N40,"◯")*2+COUNTIF($C40:$N40,"△〜◯")*1.5+COUNTIF($C40:$N40,"△")*1+COUNTIF($C40:$N40,"×〜△")*0.5</f>
        <v/>
      </c>
      <c r="P40" s="20">
        <f>COUNTIF($C40:$N40,"◯")+COUNTIF($C40:$N40,"△〜◯")+COUNTIF($C40:$N40,"△")+COUNTIF($C40:$N40,"×〜△")+COUNTIF($C40:$N40,"×")</f>
        <v/>
      </c>
      <c r="Q40" s="20">
        <f>COUNTIF($C40:$N40,"×")</f>
        <v/>
      </c>
      <c r="R40" s="20">
        <f>COUNTIF($C40,"×")+COUNTIF($D40,"×")+COUNTIF($F40,"×")+COUNTIF($I40,"×")</f>
        <v/>
      </c>
      <c r="S40" s="20">
        <f>IF($P40=0,"未入力",IF($R40&gt;0,"C：見送り（Must項目に×）",IF($Q40&gt;=2,"C：見送り（×が2項目以上）",IF($P40&lt;6,"B：追加情報を取得して再判定",IF(AND($Q40=0,$O40/($P40*2)&gt;=0.75),"A：進める（トップ面談・基本合意検討へ）","B：追加情報を取得して再判定")))))</f>
        <v/>
      </c>
      <c r="T40" s="21">
        <f>IF($P40=0,"",$O40/($P40*2))</f>
        <v/>
      </c>
    </row>
    <row r="41">
      <c r="A41" s="22" t="n"/>
      <c r="B41" s="17">
        <f>IF($A41="","",IFERROR(INDEX(案件管理!$E:$E,MATCH($A41,案件管理!$A:$A,0)),""))</f>
        <v/>
      </c>
      <c r="C41" s="23" t="n"/>
      <c r="D41" s="23" t="n"/>
      <c r="E41" s="23" t="n"/>
      <c r="F41" s="23" t="n"/>
      <c r="G41" s="23" t="n"/>
      <c r="H41" s="23" t="n"/>
      <c r="I41" s="23" t="n"/>
      <c r="J41" s="23" t="n"/>
      <c r="K41" s="23" t="n"/>
      <c r="L41" s="23" t="n"/>
      <c r="M41" s="23" t="n"/>
      <c r="N41" s="23" t="n"/>
      <c r="O41" s="19">
        <f>COUNTIF($C41:$N41,"◯")*2+COUNTIF($C41:$N41,"△〜◯")*1.5+COUNTIF($C41:$N41,"△")*1+COUNTIF($C41:$N41,"×〜△")*0.5</f>
        <v/>
      </c>
      <c r="P41" s="20">
        <f>COUNTIF($C41:$N41,"◯")+COUNTIF($C41:$N41,"△〜◯")+COUNTIF($C41:$N41,"△")+COUNTIF($C41:$N41,"×〜△")+COUNTIF($C41:$N41,"×")</f>
        <v/>
      </c>
      <c r="Q41" s="20">
        <f>COUNTIF($C41:$N41,"×")</f>
        <v/>
      </c>
      <c r="R41" s="20">
        <f>COUNTIF($C41,"×")+COUNTIF($D41,"×")+COUNTIF($F41,"×")+COUNTIF($I41,"×")</f>
        <v/>
      </c>
      <c r="S41" s="20">
        <f>IF($P41=0,"未入力",IF($R41&gt;0,"C：見送り（Must項目に×）",IF($Q41&gt;=2,"C：見送り（×が2項目以上）",IF($P41&lt;6,"B：追加情報を取得して再判定",IF(AND($Q41=0,$O41/($P41*2)&gt;=0.75),"A：進める（トップ面談・基本合意検討へ）","B：追加情報を取得して再判定")))))</f>
        <v/>
      </c>
      <c r="T41" s="21">
        <f>IF($P41=0,"",$O41/($P41*2))</f>
        <v/>
      </c>
    </row>
    <row r="42">
      <c r="A42" s="22" t="n"/>
      <c r="B42" s="17">
        <f>IF($A42="","",IFERROR(INDEX(案件管理!$E:$E,MATCH($A42,案件管理!$A:$A,0)),""))</f>
        <v/>
      </c>
      <c r="C42" s="23" t="n"/>
      <c r="D42" s="23" t="n"/>
      <c r="E42" s="23" t="n"/>
      <c r="F42" s="23" t="n"/>
      <c r="G42" s="23" t="n"/>
      <c r="H42" s="23" t="n"/>
      <c r="I42" s="23" t="n"/>
      <c r="J42" s="23" t="n"/>
      <c r="K42" s="23" t="n"/>
      <c r="L42" s="23" t="n"/>
      <c r="M42" s="23" t="n"/>
      <c r="N42" s="23" t="n"/>
      <c r="O42" s="19">
        <f>COUNTIF($C42:$N42,"◯")*2+COUNTIF($C42:$N42,"△〜◯")*1.5+COUNTIF($C42:$N42,"△")*1+COUNTIF($C42:$N42,"×〜△")*0.5</f>
        <v/>
      </c>
      <c r="P42" s="20">
        <f>COUNTIF($C42:$N42,"◯")+COUNTIF($C42:$N42,"△〜◯")+COUNTIF($C42:$N42,"△")+COUNTIF($C42:$N42,"×〜△")+COUNTIF($C42:$N42,"×")</f>
        <v/>
      </c>
      <c r="Q42" s="20">
        <f>COUNTIF($C42:$N42,"×")</f>
        <v/>
      </c>
      <c r="R42" s="20">
        <f>COUNTIF($C42,"×")+COUNTIF($D42,"×")+COUNTIF($F42,"×")+COUNTIF($I42,"×")</f>
        <v/>
      </c>
      <c r="S42" s="20">
        <f>IF($P42=0,"未入力",IF($R42&gt;0,"C：見送り（Must項目に×）",IF($Q42&gt;=2,"C：見送り（×が2項目以上）",IF($P42&lt;6,"B：追加情報を取得して再判定",IF(AND($Q42=0,$O42/($P42*2)&gt;=0.75),"A：進める（トップ面談・基本合意検討へ）","B：追加情報を取得して再判定")))))</f>
        <v/>
      </c>
      <c r="T42" s="21">
        <f>IF($P42=0,"",$O42/($P42*2))</f>
        <v/>
      </c>
    </row>
    <row r="43">
      <c r="A43" s="22" t="n"/>
      <c r="B43" s="17">
        <f>IF($A43="","",IFERROR(INDEX(案件管理!$E:$E,MATCH($A43,案件管理!$A:$A,0)),""))</f>
        <v/>
      </c>
      <c r="C43" s="23" t="n"/>
      <c r="D43" s="23" t="n"/>
      <c r="E43" s="23" t="n"/>
      <c r="F43" s="23" t="n"/>
      <c r="G43" s="23" t="n"/>
      <c r="H43" s="23" t="n"/>
      <c r="I43" s="23" t="n"/>
      <c r="J43" s="23" t="n"/>
      <c r="K43" s="23" t="n"/>
      <c r="L43" s="23" t="n"/>
      <c r="M43" s="23" t="n"/>
      <c r="N43" s="23" t="n"/>
      <c r="O43" s="19">
        <f>COUNTIF($C43:$N43,"◯")*2+COUNTIF($C43:$N43,"△〜◯")*1.5+COUNTIF($C43:$N43,"△")*1+COUNTIF($C43:$N43,"×〜△")*0.5</f>
        <v/>
      </c>
      <c r="P43" s="20">
        <f>COUNTIF($C43:$N43,"◯")+COUNTIF($C43:$N43,"△〜◯")+COUNTIF($C43:$N43,"△")+COUNTIF($C43:$N43,"×〜△")+COUNTIF($C43:$N43,"×")</f>
        <v/>
      </c>
      <c r="Q43" s="20">
        <f>COUNTIF($C43:$N43,"×")</f>
        <v/>
      </c>
      <c r="R43" s="20">
        <f>COUNTIF($C43,"×")+COUNTIF($D43,"×")+COUNTIF($F43,"×")+COUNTIF($I43,"×")</f>
        <v/>
      </c>
      <c r="S43" s="20">
        <f>IF($P43=0,"未入力",IF($R43&gt;0,"C：見送り（Must項目に×）",IF($Q43&gt;=2,"C：見送り（×が2項目以上）",IF($P43&lt;6,"B：追加情報を取得して再判定",IF(AND($Q43=0,$O43/($P43*2)&gt;=0.75),"A：進める（トップ面談・基本合意検討へ）","B：追加情報を取得して再判定")))))</f>
        <v/>
      </c>
      <c r="T43" s="21">
        <f>IF($P43=0,"",$O43/($P43*2))</f>
        <v/>
      </c>
    </row>
    <row r="44">
      <c r="A44" s="22" t="n"/>
      <c r="B44" s="17">
        <f>IF($A44="","",IFERROR(INDEX(案件管理!$E:$E,MATCH($A44,案件管理!$A:$A,0)),""))</f>
        <v/>
      </c>
      <c r="C44" s="23" t="n"/>
      <c r="D44" s="23" t="n"/>
      <c r="E44" s="23" t="n"/>
      <c r="F44" s="23" t="n"/>
      <c r="G44" s="23" t="n"/>
      <c r="H44" s="23" t="n"/>
      <c r="I44" s="23" t="n"/>
      <c r="J44" s="23" t="n"/>
      <c r="K44" s="23" t="n"/>
      <c r="L44" s="23" t="n"/>
      <c r="M44" s="23" t="n"/>
      <c r="N44" s="23" t="n"/>
      <c r="O44" s="19">
        <f>COUNTIF($C44:$N44,"◯")*2+COUNTIF($C44:$N44,"△〜◯")*1.5+COUNTIF($C44:$N44,"△")*1+COUNTIF($C44:$N44,"×〜△")*0.5</f>
        <v/>
      </c>
      <c r="P44" s="20">
        <f>COUNTIF($C44:$N44,"◯")+COUNTIF($C44:$N44,"△〜◯")+COUNTIF($C44:$N44,"△")+COUNTIF($C44:$N44,"×〜△")+COUNTIF($C44:$N44,"×")</f>
        <v/>
      </c>
      <c r="Q44" s="20">
        <f>COUNTIF($C44:$N44,"×")</f>
        <v/>
      </c>
      <c r="R44" s="20">
        <f>COUNTIF($C44,"×")+COUNTIF($D44,"×")+COUNTIF($F44,"×")+COUNTIF($I44,"×")</f>
        <v/>
      </c>
      <c r="S44" s="20">
        <f>IF($P44=0,"未入力",IF($R44&gt;0,"C：見送り（Must項目に×）",IF($Q44&gt;=2,"C：見送り（×が2項目以上）",IF($P44&lt;6,"B：追加情報を取得して再判定",IF(AND($Q44=0,$O44/($P44*2)&gt;=0.75),"A：進める（トップ面談・基本合意検討へ）","B：追加情報を取得して再判定")))))</f>
        <v/>
      </c>
      <c r="T44" s="21">
        <f>IF($P44=0,"",$O44/($P44*2))</f>
        <v/>
      </c>
    </row>
    <row r="45">
      <c r="A45" s="22" t="n"/>
      <c r="B45" s="17">
        <f>IF($A45="","",IFERROR(INDEX(案件管理!$E:$E,MATCH($A45,案件管理!$A:$A,0)),""))</f>
        <v/>
      </c>
      <c r="C45" s="23" t="n"/>
      <c r="D45" s="23" t="n"/>
      <c r="E45" s="23" t="n"/>
      <c r="F45" s="23" t="n"/>
      <c r="G45" s="23" t="n"/>
      <c r="H45" s="23" t="n"/>
      <c r="I45" s="23" t="n"/>
      <c r="J45" s="23" t="n"/>
      <c r="K45" s="23" t="n"/>
      <c r="L45" s="23" t="n"/>
      <c r="M45" s="23" t="n"/>
      <c r="N45" s="23" t="n"/>
      <c r="O45" s="19">
        <f>COUNTIF($C45:$N45,"◯")*2+COUNTIF($C45:$N45,"△〜◯")*1.5+COUNTIF($C45:$N45,"△")*1+COUNTIF($C45:$N45,"×〜△")*0.5</f>
        <v/>
      </c>
      <c r="P45" s="20">
        <f>COUNTIF($C45:$N45,"◯")+COUNTIF($C45:$N45,"△〜◯")+COUNTIF($C45:$N45,"△")+COUNTIF($C45:$N45,"×〜△")+COUNTIF($C45:$N45,"×")</f>
        <v/>
      </c>
      <c r="Q45" s="20">
        <f>COUNTIF($C45:$N45,"×")</f>
        <v/>
      </c>
      <c r="R45" s="20">
        <f>COUNTIF($C45,"×")+COUNTIF($D45,"×")+COUNTIF($F45,"×")+COUNTIF($I45,"×")</f>
        <v/>
      </c>
      <c r="S45" s="20">
        <f>IF($P45=0,"未入力",IF($R45&gt;0,"C：見送り（Must項目に×）",IF($Q45&gt;=2,"C：見送り（×が2項目以上）",IF($P45&lt;6,"B：追加情報を取得して再判定",IF(AND($Q45=0,$O45/($P45*2)&gt;=0.75),"A：進める（トップ面談・基本合意検討へ）","B：追加情報を取得して再判定")))))</f>
        <v/>
      </c>
      <c r="T45" s="21">
        <f>IF($P45=0,"",$O45/($P45*2))</f>
        <v/>
      </c>
    </row>
    <row r="46">
      <c r="A46" s="22" t="n"/>
      <c r="B46" s="17">
        <f>IF($A46="","",IFERROR(INDEX(案件管理!$E:$E,MATCH($A46,案件管理!$A:$A,0)),""))</f>
        <v/>
      </c>
      <c r="C46" s="23" t="n"/>
      <c r="D46" s="23" t="n"/>
      <c r="E46" s="23" t="n"/>
      <c r="F46" s="23" t="n"/>
      <c r="G46" s="23" t="n"/>
      <c r="H46" s="23" t="n"/>
      <c r="I46" s="23" t="n"/>
      <c r="J46" s="23" t="n"/>
      <c r="K46" s="23" t="n"/>
      <c r="L46" s="23" t="n"/>
      <c r="M46" s="23" t="n"/>
      <c r="N46" s="23" t="n"/>
      <c r="O46" s="19">
        <f>COUNTIF($C46:$N46,"◯")*2+COUNTIF($C46:$N46,"△〜◯")*1.5+COUNTIF($C46:$N46,"△")*1+COUNTIF($C46:$N46,"×〜△")*0.5</f>
        <v/>
      </c>
      <c r="P46" s="20">
        <f>COUNTIF($C46:$N46,"◯")+COUNTIF($C46:$N46,"△〜◯")+COUNTIF($C46:$N46,"△")+COUNTIF($C46:$N46,"×〜△")+COUNTIF($C46:$N46,"×")</f>
        <v/>
      </c>
      <c r="Q46" s="20">
        <f>COUNTIF($C46:$N46,"×")</f>
        <v/>
      </c>
      <c r="R46" s="20">
        <f>COUNTIF($C46,"×")+COUNTIF($D46,"×")+COUNTIF($F46,"×")+COUNTIF($I46,"×")</f>
        <v/>
      </c>
      <c r="S46" s="20">
        <f>IF($P46=0,"未入力",IF($R46&gt;0,"C：見送り（Must項目に×）",IF($Q46&gt;=2,"C：見送り（×が2項目以上）",IF($P46&lt;6,"B：追加情報を取得して再判定",IF(AND($Q46=0,$O46/($P46*2)&gt;=0.75),"A：進める（トップ面談・基本合意検討へ）","B：追加情報を取得して再判定")))))</f>
        <v/>
      </c>
      <c r="T46" s="21">
        <f>IF($P46=0,"",$O46/($P46*2))</f>
        <v/>
      </c>
    </row>
    <row r="47">
      <c r="A47" s="22" t="n"/>
      <c r="B47" s="17">
        <f>IF($A47="","",IFERROR(INDEX(案件管理!$E:$E,MATCH($A47,案件管理!$A:$A,0)),""))</f>
        <v/>
      </c>
      <c r="C47" s="23" t="n"/>
      <c r="D47" s="23" t="n"/>
      <c r="E47" s="23" t="n"/>
      <c r="F47" s="23" t="n"/>
      <c r="G47" s="23" t="n"/>
      <c r="H47" s="23" t="n"/>
      <c r="I47" s="23" t="n"/>
      <c r="J47" s="23" t="n"/>
      <c r="K47" s="23" t="n"/>
      <c r="L47" s="23" t="n"/>
      <c r="M47" s="23" t="n"/>
      <c r="N47" s="23" t="n"/>
      <c r="O47" s="19">
        <f>COUNTIF($C47:$N47,"◯")*2+COUNTIF($C47:$N47,"△〜◯")*1.5+COUNTIF($C47:$N47,"△")*1+COUNTIF($C47:$N47,"×〜△")*0.5</f>
        <v/>
      </c>
      <c r="P47" s="20">
        <f>COUNTIF($C47:$N47,"◯")+COUNTIF($C47:$N47,"△〜◯")+COUNTIF($C47:$N47,"△")+COUNTIF($C47:$N47,"×〜△")+COUNTIF($C47:$N47,"×")</f>
        <v/>
      </c>
      <c r="Q47" s="20">
        <f>COUNTIF($C47:$N47,"×")</f>
        <v/>
      </c>
      <c r="R47" s="20">
        <f>COUNTIF($C47,"×")+COUNTIF($D47,"×")+COUNTIF($F47,"×")+COUNTIF($I47,"×")</f>
        <v/>
      </c>
      <c r="S47" s="20">
        <f>IF($P47=0,"未入力",IF($R47&gt;0,"C：見送り（Must項目に×）",IF($Q47&gt;=2,"C：見送り（×が2項目以上）",IF($P47&lt;6,"B：追加情報を取得して再判定",IF(AND($Q47=0,$O47/($P47*2)&gt;=0.75),"A：進める（トップ面談・基本合意検討へ）","B：追加情報を取得して再判定")))))</f>
        <v/>
      </c>
      <c r="T47" s="21">
        <f>IF($P47=0,"",$O47/($P47*2))</f>
        <v/>
      </c>
    </row>
    <row r="48">
      <c r="A48" s="22" t="n"/>
      <c r="B48" s="17">
        <f>IF($A48="","",IFERROR(INDEX(案件管理!$E:$E,MATCH($A48,案件管理!$A:$A,0)),""))</f>
        <v/>
      </c>
      <c r="C48" s="23" t="n"/>
      <c r="D48" s="23" t="n"/>
      <c r="E48" s="23" t="n"/>
      <c r="F48" s="23" t="n"/>
      <c r="G48" s="23" t="n"/>
      <c r="H48" s="23" t="n"/>
      <c r="I48" s="23" t="n"/>
      <c r="J48" s="23" t="n"/>
      <c r="K48" s="23" t="n"/>
      <c r="L48" s="23" t="n"/>
      <c r="M48" s="23" t="n"/>
      <c r="N48" s="23" t="n"/>
      <c r="O48" s="19">
        <f>COUNTIF($C48:$N48,"◯")*2+COUNTIF($C48:$N48,"△〜◯")*1.5+COUNTIF($C48:$N48,"△")*1+COUNTIF($C48:$N48,"×〜△")*0.5</f>
        <v/>
      </c>
      <c r="P48" s="20">
        <f>COUNTIF($C48:$N48,"◯")+COUNTIF($C48:$N48,"△〜◯")+COUNTIF($C48:$N48,"△")+COUNTIF($C48:$N48,"×〜△")+COUNTIF($C48:$N48,"×")</f>
        <v/>
      </c>
      <c r="Q48" s="20">
        <f>COUNTIF($C48:$N48,"×")</f>
        <v/>
      </c>
      <c r="R48" s="20">
        <f>COUNTIF($C48,"×")+COUNTIF($D48,"×")+COUNTIF($F48,"×")+COUNTIF($I48,"×")</f>
        <v/>
      </c>
      <c r="S48" s="20">
        <f>IF($P48=0,"未入力",IF($R48&gt;0,"C：見送り（Must項目に×）",IF($Q48&gt;=2,"C：見送り（×が2項目以上）",IF($P48&lt;6,"B：追加情報を取得して再判定",IF(AND($Q48=0,$O48/($P48*2)&gt;=0.75),"A：進める（トップ面談・基本合意検討へ）","B：追加情報を取得して再判定")))))</f>
        <v/>
      </c>
      <c r="T48" s="21">
        <f>IF($P48=0,"",$O48/($P48*2))</f>
        <v/>
      </c>
    </row>
    <row r="49">
      <c r="A49" s="22" t="n"/>
      <c r="B49" s="17">
        <f>IF($A49="","",IFERROR(INDEX(案件管理!$E:$E,MATCH($A49,案件管理!$A:$A,0)),""))</f>
        <v/>
      </c>
      <c r="C49" s="23" t="n"/>
      <c r="D49" s="23" t="n"/>
      <c r="E49" s="23" t="n"/>
      <c r="F49" s="23" t="n"/>
      <c r="G49" s="23" t="n"/>
      <c r="H49" s="23" t="n"/>
      <c r="I49" s="23" t="n"/>
      <c r="J49" s="23" t="n"/>
      <c r="K49" s="23" t="n"/>
      <c r="L49" s="23" t="n"/>
      <c r="M49" s="23" t="n"/>
      <c r="N49" s="23" t="n"/>
      <c r="O49" s="19">
        <f>COUNTIF($C49:$N49,"◯")*2+COUNTIF($C49:$N49,"△〜◯")*1.5+COUNTIF($C49:$N49,"△")*1+COUNTIF($C49:$N49,"×〜△")*0.5</f>
        <v/>
      </c>
      <c r="P49" s="20">
        <f>COUNTIF($C49:$N49,"◯")+COUNTIF($C49:$N49,"△〜◯")+COUNTIF($C49:$N49,"△")+COUNTIF($C49:$N49,"×〜△")+COUNTIF($C49:$N49,"×")</f>
        <v/>
      </c>
      <c r="Q49" s="20">
        <f>COUNTIF($C49:$N49,"×")</f>
        <v/>
      </c>
      <c r="R49" s="20">
        <f>COUNTIF($C49,"×")+COUNTIF($D49,"×")+COUNTIF($F49,"×")+COUNTIF($I49,"×")</f>
        <v/>
      </c>
      <c r="S49" s="20">
        <f>IF($P49=0,"未入力",IF($R49&gt;0,"C：見送り（Must項目に×）",IF($Q49&gt;=2,"C：見送り（×が2項目以上）",IF($P49&lt;6,"B：追加情報を取得して再判定",IF(AND($Q49=0,$O49/($P49*2)&gt;=0.75),"A：進める（トップ面談・基本合意検討へ）","B：追加情報を取得して再判定")))))</f>
        <v/>
      </c>
      <c r="T49" s="21">
        <f>IF($P49=0,"",$O49/($P49*2))</f>
        <v/>
      </c>
    </row>
    <row r="50">
      <c r="A50" s="22" t="n"/>
      <c r="B50" s="17">
        <f>IF($A50="","",IFERROR(INDEX(案件管理!$E:$E,MATCH($A50,案件管理!$A:$A,0)),""))</f>
        <v/>
      </c>
      <c r="C50" s="23" t="n"/>
      <c r="D50" s="23" t="n"/>
      <c r="E50" s="23" t="n"/>
      <c r="F50" s="23" t="n"/>
      <c r="G50" s="23" t="n"/>
      <c r="H50" s="23" t="n"/>
      <c r="I50" s="23" t="n"/>
      <c r="J50" s="23" t="n"/>
      <c r="K50" s="23" t="n"/>
      <c r="L50" s="23" t="n"/>
      <c r="M50" s="23" t="n"/>
      <c r="N50" s="23" t="n"/>
      <c r="O50" s="19">
        <f>COUNTIF($C50:$N50,"◯")*2+COUNTIF($C50:$N50,"△〜◯")*1.5+COUNTIF($C50:$N50,"△")*1+COUNTIF($C50:$N50,"×〜△")*0.5</f>
        <v/>
      </c>
      <c r="P50" s="20">
        <f>COUNTIF($C50:$N50,"◯")+COUNTIF($C50:$N50,"△〜◯")+COUNTIF($C50:$N50,"△")+COUNTIF($C50:$N50,"×〜△")+COUNTIF($C50:$N50,"×")</f>
        <v/>
      </c>
      <c r="Q50" s="20">
        <f>COUNTIF($C50:$N50,"×")</f>
        <v/>
      </c>
      <c r="R50" s="20">
        <f>COUNTIF($C50,"×")+COUNTIF($D50,"×")+COUNTIF($F50,"×")+COUNTIF($I50,"×")</f>
        <v/>
      </c>
      <c r="S50" s="20">
        <f>IF($P50=0,"未入力",IF($R50&gt;0,"C：見送り（Must項目に×）",IF($Q50&gt;=2,"C：見送り（×が2項目以上）",IF($P50&lt;6,"B：追加情報を取得して再判定",IF(AND($Q50=0,$O50/($P50*2)&gt;=0.75),"A：進める（トップ面談・基本合意検討へ）","B：追加情報を取得して再判定")))))</f>
        <v/>
      </c>
      <c r="T50" s="21">
        <f>IF($P50=0,"",$O50/($P50*2))</f>
        <v/>
      </c>
    </row>
    <row r="51">
      <c r="A51" s="22" t="n"/>
      <c r="B51" s="17">
        <f>IF($A51="","",IFERROR(INDEX(案件管理!$E:$E,MATCH($A51,案件管理!$A:$A,0)),""))</f>
        <v/>
      </c>
      <c r="C51" s="23" t="n"/>
      <c r="D51" s="23" t="n"/>
      <c r="E51" s="23" t="n"/>
      <c r="F51" s="23" t="n"/>
      <c r="G51" s="23" t="n"/>
      <c r="H51" s="23" t="n"/>
      <c r="I51" s="23" t="n"/>
      <c r="J51" s="23" t="n"/>
      <c r="K51" s="23" t="n"/>
      <c r="L51" s="23" t="n"/>
      <c r="M51" s="23" t="n"/>
      <c r="N51" s="23" t="n"/>
      <c r="O51" s="19">
        <f>COUNTIF($C51:$N51,"◯")*2+COUNTIF($C51:$N51,"△〜◯")*1.5+COUNTIF($C51:$N51,"△")*1+COUNTIF($C51:$N51,"×〜△")*0.5</f>
        <v/>
      </c>
      <c r="P51" s="20">
        <f>COUNTIF($C51:$N51,"◯")+COUNTIF($C51:$N51,"△〜◯")+COUNTIF($C51:$N51,"△")+COUNTIF($C51:$N51,"×〜△")+COUNTIF($C51:$N51,"×")</f>
        <v/>
      </c>
      <c r="Q51" s="20">
        <f>COUNTIF($C51:$N51,"×")</f>
        <v/>
      </c>
      <c r="R51" s="20">
        <f>COUNTIF($C51,"×")+COUNTIF($D51,"×")+COUNTIF($F51,"×")+COUNTIF($I51,"×")</f>
        <v/>
      </c>
      <c r="S51" s="20">
        <f>IF($P51=0,"未入力",IF($R51&gt;0,"C：見送り（Must項目に×）",IF($Q51&gt;=2,"C：見送り（×が2項目以上）",IF($P51&lt;6,"B：追加情報を取得して再判定",IF(AND($Q51=0,$O51/($P51*2)&gt;=0.75),"A：進める（トップ面談・基本合意検討へ）","B：追加情報を取得して再判定")))))</f>
        <v/>
      </c>
      <c r="T51" s="21">
        <f>IF($P51=0,"",$O51/($P51*2))</f>
        <v/>
      </c>
    </row>
    <row r="52">
      <c r="A52" s="22" t="n"/>
      <c r="B52" s="17">
        <f>IF($A52="","",IFERROR(INDEX(案件管理!$E:$E,MATCH($A52,案件管理!$A:$A,0)),""))</f>
        <v/>
      </c>
      <c r="C52" s="23" t="n"/>
      <c r="D52" s="23" t="n"/>
      <c r="E52" s="23" t="n"/>
      <c r="F52" s="23" t="n"/>
      <c r="G52" s="23" t="n"/>
      <c r="H52" s="23" t="n"/>
      <c r="I52" s="23" t="n"/>
      <c r="J52" s="23" t="n"/>
      <c r="K52" s="23" t="n"/>
      <c r="L52" s="23" t="n"/>
      <c r="M52" s="23" t="n"/>
      <c r="N52" s="23" t="n"/>
      <c r="O52" s="19">
        <f>COUNTIF($C52:$N52,"◯")*2+COUNTIF($C52:$N52,"△〜◯")*1.5+COUNTIF($C52:$N52,"△")*1+COUNTIF($C52:$N52,"×〜△")*0.5</f>
        <v/>
      </c>
      <c r="P52" s="20">
        <f>COUNTIF($C52:$N52,"◯")+COUNTIF($C52:$N52,"△〜◯")+COUNTIF($C52:$N52,"△")+COUNTIF($C52:$N52,"×〜△")+COUNTIF($C52:$N52,"×")</f>
        <v/>
      </c>
      <c r="Q52" s="20">
        <f>COUNTIF($C52:$N52,"×")</f>
        <v/>
      </c>
      <c r="R52" s="20">
        <f>COUNTIF($C52,"×")+COUNTIF($D52,"×")+COUNTIF($F52,"×")+COUNTIF($I52,"×")</f>
        <v/>
      </c>
      <c r="S52" s="20">
        <f>IF($P52=0,"未入力",IF($R52&gt;0,"C：見送り（Must項目に×）",IF($Q52&gt;=2,"C：見送り（×が2項目以上）",IF($P52&lt;6,"B：追加情報を取得して再判定",IF(AND($Q52=0,$O52/($P52*2)&gt;=0.75),"A：進める（トップ面談・基本合意検討へ）","B：追加情報を取得して再判定")))))</f>
        <v/>
      </c>
      <c r="T52" s="21">
        <f>IF($P52=0,"",$O52/($P52*2))</f>
        <v/>
      </c>
    </row>
    <row r="53">
      <c r="A53" s="22" t="n"/>
      <c r="B53" s="17">
        <f>IF($A53="","",IFERROR(INDEX(案件管理!$E:$E,MATCH($A53,案件管理!$A:$A,0)),""))</f>
        <v/>
      </c>
      <c r="C53" s="23" t="n"/>
      <c r="D53" s="23" t="n"/>
      <c r="E53" s="23" t="n"/>
      <c r="F53" s="23" t="n"/>
      <c r="G53" s="23" t="n"/>
      <c r="H53" s="23" t="n"/>
      <c r="I53" s="23" t="n"/>
      <c r="J53" s="23" t="n"/>
      <c r="K53" s="23" t="n"/>
      <c r="L53" s="23" t="n"/>
      <c r="M53" s="23" t="n"/>
      <c r="N53" s="23" t="n"/>
      <c r="O53" s="19">
        <f>COUNTIF($C53:$N53,"◯")*2+COUNTIF($C53:$N53,"△〜◯")*1.5+COUNTIF($C53:$N53,"△")*1+COUNTIF($C53:$N53,"×〜△")*0.5</f>
        <v/>
      </c>
      <c r="P53" s="20">
        <f>COUNTIF($C53:$N53,"◯")+COUNTIF($C53:$N53,"△〜◯")+COUNTIF($C53:$N53,"△")+COUNTIF($C53:$N53,"×〜△")+COUNTIF($C53:$N53,"×")</f>
        <v/>
      </c>
      <c r="Q53" s="20">
        <f>COUNTIF($C53:$N53,"×")</f>
        <v/>
      </c>
      <c r="R53" s="20">
        <f>COUNTIF($C53,"×")+COUNTIF($D53,"×")+COUNTIF($F53,"×")+COUNTIF($I53,"×")</f>
        <v/>
      </c>
      <c r="S53" s="20">
        <f>IF($P53=0,"未入力",IF($R53&gt;0,"C：見送り（Must項目に×）",IF($Q53&gt;=2,"C：見送り（×が2項目以上）",IF($P53&lt;6,"B：追加情報を取得して再判定",IF(AND($Q53=0,$O53/($P53*2)&gt;=0.75),"A：進める（トップ面談・基本合意検討へ）","B：追加情報を取得して再判定")))))</f>
        <v/>
      </c>
      <c r="T53" s="21">
        <f>IF($P53=0,"",$O53/($P53*2))</f>
        <v/>
      </c>
    </row>
    <row r="54">
      <c r="A54" s="22" t="n"/>
      <c r="B54" s="17">
        <f>IF($A54="","",IFERROR(INDEX(案件管理!$E:$E,MATCH($A54,案件管理!$A:$A,0)),""))</f>
        <v/>
      </c>
      <c r="C54" s="23" t="n"/>
      <c r="D54" s="23" t="n"/>
      <c r="E54" s="23" t="n"/>
      <c r="F54" s="23" t="n"/>
      <c r="G54" s="23" t="n"/>
      <c r="H54" s="23" t="n"/>
      <c r="I54" s="23" t="n"/>
      <c r="J54" s="23" t="n"/>
      <c r="K54" s="23" t="n"/>
      <c r="L54" s="23" t="n"/>
      <c r="M54" s="23" t="n"/>
      <c r="N54" s="23" t="n"/>
      <c r="O54" s="19">
        <f>COUNTIF($C54:$N54,"◯")*2+COUNTIF($C54:$N54,"△〜◯")*1.5+COUNTIF($C54:$N54,"△")*1+COUNTIF($C54:$N54,"×〜△")*0.5</f>
        <v/>
      </c>
      <c r="P54" s="20">
        <f>COUNTIF($C54:$N54,"◯")+COUNTIF($C54:$N54,"△〜◯")+COUNTIF($C54:$N54,"△")+COUNTIF($C54:$N54,"×〜△")+COUNTIF($C54:$N54,"×")</f>
        <v/>
      </c>
      <c r="Q54" s="20">
        <f>COUNTIF($C54:$N54,"×")</f>
        <v/>
      </c>
      <c r="R54" s="20">
        <f>COUNTIF($C54,"×")+COUNTIF($D54,"×")+COUNTIF($F54,"×")+COUNTIF($I54,"×")</f>
        <v/>
      </c>
      <c r="S54" s="20">
        <f>IF($P54=0,"未入力",IF($R54&gt;0,"C：見送り（Must項目に×）",IF($Q54&gt;=2,"C：見送り（×が2項目以上）",IF($P54&lt;6,"B：追加情報を取得して再判定",IF(AND($Q54=0,$O54/($P54*2)&gt;=0.75),"A：進める（トップ面談・基本合意検討へ）","B：追加情報を取得して再判定")))))</f>
        <v/>
      </c>
      <c r="T54" s="21">
        <f>IF($P54=0,"",$O54/($P54*2))</f>
        <v/>
      </c>
    </row>
    <row r="55">
      <c r="A55" s="22" t="n"/>
      <c r="B55" s="17">
        <f>IF($A55="","",IFERROR(INDEX(案件管理!$E:$E,MATCH($A55,案件管理!$A:$A,0)),""))</f>
        <v/>
      </c>
      <c r="C55" s="23" t="n"/>
      <c r="D55" s="23" t="n"/>
      <c r="E55" s="23" t="n"/>
      <c r="F55" s="23" t="n"/>
      <c r="G55" s="23" t="n"/>
      <c r="H55" s="23" t="n"/>
      <c r="I55" s="23" t="n"/>
      <c r="J55" s="23" t="n"/>
      <c r="K55" s="23" t="n"/>
      <c r="L55" s="23" t="n"/>
      <c r="M55" s="23" t="n"/>
      <c r="N55" s="23" t="n"/>
      <c r="O55" s="19">
        <f>COUNTIF($C55:$N55,"◯")*2+COUNTIF($C55:$N55,"△〜◯")*1.5+COUNTIF($C55:$N55,"△")*1+COUNTIF($C55:$N55,"×〜△")*0.5</f>
        <v/>
      </c>
      <c r="P55" s="20">
        <f>COUNTIF($C55:$N55,"◯")+COUNTIF($C55:$N55,"△〜◯")+COUNTIF($C55:$N55,"△")+COUNTIF($C55:$N55,"×〜△")+COUNTIF($C55:$N55,"×")</f>
        <v/>
      </c>
      <c r="Q55" s="20">
        <f>COUNTIF($C55:$N55,"×")</f>
        <v/>
      </c>
      <c r="R55" s="20">
        <f>COUNTIF($C55,"×")+COUNTIF($D55,"×")+COUNTIF($F55,"×")+COUNTIF($I55,"×")</f>
        <v/>
      </c>
      <c r="S55" s="20">
        <f>IF($P55=0,"未入力",IF($R55&gt;0,"C：見送り（Must項目に×）",IF($Q55&gt;=2,"C：見送り（×が2項目以上）",IF($P55&lt;6,"B：追加情報を取得して再判定",IF(AND($Q55=0,$O55/($P55*2)&gt;=0.75),"A：進める（トップ面談・基本合意検討へ）","B：追加情報を取得して再判定")))))</f>
        <v/>
      </c>
      <c r="T55" s="21">
        <f>IF($P55=0,"",$O55/($P55*2))</f>
        <v/>
      </c>
    </row>
    <row r="56">
      <c r="A56" s="22" t="n"/>
      <c r="B56" s="17">
        <f>IF($A56="","",IFERROR(INDEX(案件管理!$E:$E,MATCH($A56,案件管理!$A:$A,0)),""))</f>
        <v/>
      </c>
      <c r="C56" s="23" t="n"/>
      <c r="D56" s="23" t="n"/>
      <c r="E56" s="23" t="n"/>
      <c r="F56" s="23" t="n"/>
      <c r="G56" s="23" t="n"/>
      <c r="H56" s="23" t="n"/>
      <c r="I56" s="23" t="n"/>
      <c r="J56" s="23" t="n"/>
      <c r="K56" s="23" t="n"/>
      <c r="L56" s="23" t="n"/>
      <c r="M56" s="23" t="n"/>
      <c r="N56" s="23" t="n"/>
      <c r="O56" s="19">
        <f>COUNTIF($C56:$N56,"◯")*2+COUNTIF($C56:$N56,"△〜◯")*1.5+COUNTIF($C56:$N56,"△")*1+COUNTIF($C56:$N56,"×〜△")*0.5</f>
        <v/>
      </c>
      <c r="P56" s="20">
        <f>COUNTIF($C56:$N56,"◯")+COUNTIF($C56:$N56,"△〜◯")+COUNTIF($C56:$N56,"△")+COUNTIF($C56:$N56,"×〜△")+COUNTIF($C56:$N56,"×")</f>
        <v/>
      </c>
      <c r="Q56" s="20">
        <f>COUNTIF($C56:$N56,"×")</f>
        <v/>
      </c>
      <c r="R56" s="20">
        <f>COUNTIF($C56,"×")+COUNTIF($D56,"×")+COUNTIF($F56,"×")+COUNTIF($I56,"×")</f>
        <v/>
      </c>
      <c r="S56" s="20">
        <f>IF($P56=0,"未入力",IF($R56&gt;0,"C：見送り（Must項目に×）",IF($Q56&gt;=2,"C：見送り（×が2項目以上）",IF($P56&lt;6,"B：追加情報を取得して再判定",IF(AND($Q56=0,$O56/($P56*2)&gt;=0.75),"A：進める（トップ面談・基本合意検討へ）","B：追加情報を取得して再判定")))))</f>
        <v/>
      </c>
      <c r="T56" s="21">
        <f>IF($P56=0,"",$O56/($P56*2))</f>
        <v/>
      </c>
    </row>
    <row r="57">
      <c r="A57" s="22" t="n"/>
      <c r="B57" s="17">
        <f>IF($A57="","",IFERROR(INDEX(案件管理!$E:$E,MATCH($A57,案件管理!$A:$A,0)),""))</f>
        <v/>
      </c>
      <c r="C57" s="23" t="n"/>
      <c r="D57" s="23" t="n"/>
      <c r="E57" s="23" t="n"/>
      <c r="F57" s="23" t="n"/>
      <c r="G57" s="23" t="n"/>
      <c r="H57" s="23" t="n"/>
      <c r="I57" s="23" t="n"/>
      <c r="J57" s="23" t="n"/>
      <c r="K57" s="23" t="n"/>
      <c r="L57" s="23" t="n"/>
      <c r="M57" s="23" t="n"/>
      <c r="N57" s="23" t="n"/>
      <c r="O57" s="19">
        <f>COUNTIF($C57:$N57,"◯")*2+COUNTIF($C57:$N57,"△〜◯")*1.5+COUNTIF($C57:$N57,"△")*1+COUNTIF($C57:$N57,"×〜△")*0.5</f>
        <v/>
      </c>
      <c r="P57" s="20">
        <f>COUNTIF($C57:$N57,"◯")+COUNTIF($C57:$N57,"△〜◯")+COUNTIF($C57:$N57,"△")+COUNTIF($C57:$N57,"×〜△")+COUNTIF($C57:$N57,"×")</f>
        <v/>
      </c>
      <c r="Q57" s="20">
        <f>COUNTIF($C57:$N57,"×")</f>
        <v/>
      </c>
      <c r="R57" s="20">
        <f>COUNTIF($C57,"×")+COUNTIF($D57,"×")+COUNTIF($F57,"×")+COUNTIF($I57,"×")</f>
        <v/>
      </c>
      <c r="S57" s="20">
        <f>IF($P57=0,"未入力",IF($R57&gt;0,"C：見送り（Must項目に×）",IF($Q57&gt;=2,"C：見送り（×が2項目以上）",IF($P57&lt;6,"B：追加情報を取得して再判定",IF(AND($Q57=0,$O57/($P57*2)&gt;=0.75),"A：進める（トップ面談・基本合意検討へ）","B：追加情報を取得して再判定")))))</f>
        <v/>
      </c>
      <c r="T57" s="21">
        <f>IF($P57=0,"",$O57/($P57*2))</f>
        <v/>
      </c>
    </row>
    <row r="58">
      <c r="A58" s="22" t="n"/>
      <c r="B58" s="17">
        <f>IF($A58="","",IFERROR(INDEX(案件管理!$E:$E,MATCH($A58,案件管理!$A:$A,0)),""))</f>
        <v/>
      </c>
      <c r="C58" s="23" t="n"/>
      <c r="D58" s="23" t="n"/>
      <c r="E58" s="23" t="n"/>
      <c r="F58" s="23" t="n"/>
      <c r="G58" s="23" t="n"/>
      <c r="H58" s="23" t="n"/>
      <c r="I58" s="23" t="n"/>
      <c r="J58" s="23" t="n"/>
      <c r="K58" s="23" t="n"/>
      <c r="L58" s="23" t="n"/>
      <c r="M58" s="23" t="n"/>
      <c r="N58" s="23" t="n"/>
      <c r="O58" s="19">
        <f>COUNTIF($C58:$N58,"◯")*2+COUNTIF($C58:$N58,"△〜◯")*1.5+COUNTIF($C58:$N58,"△")*1+COUNTIF($C58:$N58,"×〜△")*0.5</f>
        <v/>
      </c>
      <c r="P58" s="20">
        <f>COUNTIF($C58:$N58,"◯")+COUNTIF($C58:$N58,"△〜◯")+COUNTIF($C58:$N58,"△")+COUNTIF($C58:$N58,"×〜△")+COUNTIF($C58:$N58,"×")</f>
        <v/>
      </c>
      <c r="Q58" s="20">
        <f>COUNTIF($C58:$N58,"×")</f>
        <v/>
      </c>
      <c r="R58" s="20">
        <f>COUNTIF($C58,"×")+COUNTIF($D58,"×")+COUNTIF($F58,"×")+COUNTIF($I58,"×")</f>
        <v/>
      </c>
      <c r="S58" s="20">
        <f>IF($P58=0,"未入力",IF($R58&gt;0,"C：見送り（Must項目に×）",IF($Q58&gt;=2,"C：見送り（×が2項目以上）",IF($P58&lt;6,"B：追加情報を取得して再判定",IF(AND($Q58=0,$O58/($P58*2)&gt;=0.75),"A：進める（トップ面談・基本合意検討へ）","B：追加情報を取得して再判定")))))</f>
        <v/>
      </c>
      <c r="T58" s="21">
        <f>IF($P58=0,"",$O58/($P58*2))</f>
        <v/>
      </c>
    </row>
    <row r="59">
      <c r="A59" s="22" t="n"/>
      <c r="B59" s="17">
        <f>IF($A59="","",IFERROR(INDEX(案件管理!$E:$E,MATCH($A59,案件管理!$A:$A,0)),""))</f>
        <v/>
      </c>
      <c r="C59" s="23" t="n"/>
      <c r="D59" s="23" t="n"/>
      <c r="E59" s="23" t="n"/>
      <c r="F59" s="23" t="n"/>
      <c r="G59" s="23" t="n"/>
      <c r="H59" s="23" t="n"/>
      <c r="I59" s="23" t="n"/>
      <c r="J59" s="23" t="n"/>
      <c r="K59" s="23" t="n"/>
      <c r="L59" s="23" t="n"/>
      <c r="M59" s="23" t="n"/>
      <c r="N59" s="23" t="n"/>
      <c r="O59" s="19">
        <f>COUNTIF($C59:$N59,"◯")*2+COUNTIF($C59:$N59,"△〜◯")*1.5+COUNTIF($C59:$N59,"△")*1+COUNTIF($C59:$N59,"×〜△")*0.5</f>
        <v/>
      </c>
      <c r="P59" s="20">
        <f>COUNTIF($C59:$N59,"◯")+COUNTIF($C59:$N59,"△〜◯")+COUNTIF($C59:$N59,"△")+COUNTIF($C59:$N59,"×〜△")+COUNTIF($C59:$N59,"×")</f>
        <v/>
      </c>
      <c r="Q59" s="20">
        <f>COUNTIF($C59:$N59,"×")</f>
        <v/>
      </c>
      <c r="R59" s="20">
        <f>COUNTIF($C59,"×")+COUNTIF($D59,"×")+COUNTIF($F59,"×")+COUNTIF($I59,"×")</f>
        <v/>
      </c>
      <c r="S59" s="20">
        <f>IF($P59=0,"未入力",IF($R59&gt;0,"C：見送り（Must項目に×）",IF($Q59&gt;=2,"C：見送り（×が2項目以上）",IF($P59&lt;6,"B：追加情報を取得して再判定",IF(AND($Q59=0,$O59/($P59*2)&gt;=0.75),"A：進める（トップ面談・基本合意検討へ）","B：追加情報を取得して再判定")))))</f>
        <v/>
      </c>
      <c r="T59" s="21">
        <f>IF($P59=0,"",$O59/($P59*2))</f>
        <v/>
      </c>
    </row>
    <row r="60">
      <c r="A60" s="22" t="n"/>
      <c r="B60" s="17">
        <f>IF($A60="","",IFERROR(INDEX(案件管理!$E:$E,MATCH($A60,案件管理!$A:$A,0)),""))</f>
        <v/>
      </c>
      <c r="C60" s="23" t="n"/>
      <c r="D60" s="23" t="n"/>
      <c r="E60" s="23" t="n"/>
      <c r="F60" s="23" t="n"/>
      <c r="G60" s="23" t="n"/>
      <c r="H60" s="23" t="n"/>
      <c r="I60" s="23" t="n"/>
      <c r="J60" s="23" t="n"/>
      <c r="K60" s="23" t="n"/>
      <c r="L60" s="23" t="n"/>
      <c r="M60" s="23" t="n"/>
      <c r="N60" s="23" t="n"/>
      <c r="O60" s="19">
        <f>COUNTIF($C60:$N60,"◯")*2+COUNTIF($C60:$N60,"△〜◯")*1.5+COUNTIF($C60:$N60,"△")*1+COUNTIF($C60:$N60,"×〜△")*0.5</f>
        <v/>
      </c>
      <c r="P60" s="20">
        <f>COUNTIF($C60:$N60,"◯")+COUNTIF($C60:$N60,"△〜◯")+COUNTIF($C60:$N60,"△")+COUNTIF($C60:$N60,"×〜△")+COUNTIF($C60:$N60,"×")</f>
        <v/>
      </c>
      <c r="Q60" s="20">
        <f>COUNTIF($C60:$N60,"×")</f>
        <v/>
      </c>
      <c r="R60" s="20">
        <f>COUNTIF($C60,"×")+COUNTIF($D60,"×")+COUNTIF($F60,"×")+COUNTIF($I60,"×")</f>
        <v/>
      </c>
      <c r="S60" s="20">
        <f>IF($P60=0,"未入力",IF($R60&gt;0,"C：見送り（Must項目に×）",IF($Q60&gt;=2,"C：見送り（×が2項目以上）",IF($P60&lt;6,"B：追加情報を取得して再判定",IF(AND($Q60=0,$O60/($P60*2)&gt;=0.75),"A：進める（トップ面談・基本合意検討へ）","B：追加情報を取得して再判定")))))</f>
        <v/>
      </c>
      <c r="T60" s="21">
        <f>IF($P60=0,"",$O60/($P60*2))</f>
        <v/>
      </c>
    </row>
    <row r="61">
      <c r="A61" s="22" t="n"/>
      <c r="B61" s="17">
        <f>IF($A61="","",IFERROR(INDEX(案件管理!$E:$E,MATCH($A61,案件管理!$A:$A,0)),""))</f>
        <v/>
      </c>
      <c r="C61" s="23" t="n"/>
      <c r="D61" s="23" t="n"/>
      <c r="E61" s="23" t="n"/>
      <c r="F61" s="23" t="n"/>
      <c r="G61" s="23" t="n"/>
      <c r="H61" s="23" t="n"/>
      <c r="I61" s="23" t="n"/>
      <c r="J61" s="23" t="n"/>
      <c r="K61" s="23" t="n"/>
      <c r="L61" s="23" t="n"/>
      <c r="M61" s="23" t="n"/>
      <c r="N61" s="23" t="n"/>
      <c r="O61" s="19">
        <f>COUNTIF($C61:$N61,"◯")*2+COUNTIF($C61:$N61,"△〜◯")*1.5+COUNTIF($C61:$N61,"△")*1+COUNTIF($C61:$N61,"×〜△")*0.5</f>
        <v/>
      </c>
      <c r="P61" s="20">
        <f>COUNTIF($C61:$N61,"◯")+COUNTIF($C61:$N61,"△〜◯")+COUNTIF($C61:$N61,"△")+COUNTIF($C61:$N61,"×〜△")+COUNTIF($C61:$N61,"×")</f>
        <v/>
      </c>
      <c r="Q61" s="20">
        <f>COUNTIF($C61:$N61,"×")</f>
        <v/>
      </c>
      <c r="R61" s="20">
        <f>COUNTIF($C61,"×")+COUNTIF($D61,"×")+COUNTIF($F61,"×")+COUNTIF($I61,"×")</f>
        <v/>
      </c>
      <c r="S61" s="20">
        <f>IF($P61=0,"未入力",IF($R61&gt;0,"C：見送り（Must項目に×）",IF($Q61&gt;=2,"C：見送り（×が2項目以上）",IF($P61&lt;6,"B：追加情報を取得して再判定",IF(AND($Q61=0,$O61/($P61*2)&gt;=0.75),"A：進める（トップ面談・基本合意検討へ）","B：追加情報を取得して再判定")))))</f>
        <v/>
      </c>
      <c r="T61" s="21">
        <f>IF($P61=0,"",$O61/($P61*2))</f>
        <v/>
      </c>
    </row>
    <row r="62">
      <c r="A62" s="22" t="n"/>
      <c r="B62" s="17">
        <f>IF($A62="","",IFERROR(INDEX(案件管理!$E:$E,MATCH($A62,案件管理!$A:$A,0)),""))</f>
        <v/>
      </c>
      <c r="C62" s="23" t="n"/>
      <c r="D62" s="23" t="n"/>
      <c r="E62" s="23" t="n"/>
      <c r="F62" s="23" t="n"/>
      <c r="G62" s="23" t="n"/>
      <c r="H62" s="23" t="n"/>
      <c r="I62" s="23" t="n"/>
      <c r="J62" s="23" t="n"/>
      <c r="K62" s="23" t="n"/>
      <c r="L62" s="23" t="n"/>
      <c r="M62" s="23" t="n"/>
      <c r="N62" s="23" t="n"/>
      <c r="O62" s="19">
        <f>COUNTIF($C62:$N62,"◯")*2+COUNTIF($C62:$N62,"△〜◯")*1.5+COUNTIF($C62:$N62,"△")*1+COUNTIF($C62:$N62,"×〜△")*0.5</f>
        <v/>
      </c>
      <c r="P62" s="20">
        <f>COUNTIF($C62:$N62,"◯")+COUNTIF($C62:$N62,"△〜◯")+COUNTIF($C62:$N62,"△")+COUNTIF($C62:$N62,"×〜△")+COUNTIF($C62:$N62,"×")</f>
        <v/>
      </c>
      <c r="Q62" s="20">
        <f>COUNTIF($C62:$N62,"×")</f>
        <v/>
      </c>
      <c r="R62" s="20">
        <f>COUNTIF($C62,"×")+COUNTIF($D62,"×")+COUNTIF($F62,"×")+COUNTIF($I62,"×")</f>
        <v/>
      </c>
      <c r="S62" s="20">
        <f>IF($P62=0,"未入力",IF($R62&gt;0,"C：見送り（Must項目に×）",IF($Q62&gt;=2,"C：見送り（×が2項目以上）",IF($P62&lt;6,"B：追加情報を取得して再判定",IF(AND($Q62=0,$O62/($P62*2)&gt;=0.75),"A：進める（トップ面談・基本合意検討へ）","B：追加情報を取得して再判定")))))</f>
        <v/>
      </c>
      <c r="T62" s="21">
        <f>IF($P62=0,"",$O62/($P62*2))</f>
        <v/>
      </c>
    </row>
    <row r="63">
      <c r="A63" s="22" t="n"/>
      <c r="B63" s="17">
        <f>IF($A63="","",IFERROR(INDEX(案件管理!$E:$E,MATCH($A63,案件管理!$A:$A,0)),""))</f>
        <v/>
      </c>
      <c r="C63" s="23" t="n"/>
      <c r="D63" s="23" t="n"/>
      <c r="E63" s="23" t="n"/>
      <c r="F63" s="23" t="n"/>
      <c r="G63" s="23" t="n"/>
      <c r="H63" s="23" t="n"/>
      <c r="I63" s="23" t="n"/>
      <c r="J63" s="23" t="n"/>
      <c r="K63" s="23" t="n"/>
      <c r="L63" s="23" t="n"/>
      <c r="M63" s="23" t="n"/>
      <c r="N63" s="23" t="n"/>
      <c r="O63" s="19">
        <f>COUNTIF($C63:$N63,"◯")*2+COUNTIF($C63:$N63,"△〜◯")*1.5+COUNTIF($C63:$N63,"△")*1+COUNTIF($C63:$N63,"×〜△")*0.5</f>
        <v/>
      </c>
      <c r="P63" s="20">
        <f>COUNTIF($C63:$N63,"◯")+COUNTIF($C63:$N63,"△〜◯")+COUNTIF($C63:$N63,"△")+COUNTIF($C63:$N63,"×〜△")+COUNTIF($C63:$N63,"×")</f>
        <v/>
      </c>
      <c r="Q63" s="20">
        <f>COUNTIF($C63:$N63,"×")</f>
        <v/>
      </c>
      <c r="R63" s="20">
        <f>COUNTIF($C63,"×")+COUNTIF($D63,"×")+COUNTIF($F63,"×")+COUNTIF($I63,"×")</f>
        <v/>
      </c>
      <c r="S63" s="20">
        <f>IF($P63=0,"未入力",IF($R63&gt;0,"C：見送り（Must項目に×）",IF($Q63&gt;=2,"C：見送り（×が2項目以上）",IF($P63&lt;6,"B：追加情報を取得して再判定",IF(AND($Q63=0,$O63/($P63*2)&gt;=0.75),"A：進める（トップ面談・基本合意検討へ）","B：追加情報を取得して再判定")))))</f>
        <v/>
      </c>
      <c r="T63" s="21">
        <f>IF($P63=0,"",$O63/($P63*2))</f>
        <v/>
      </c>
    </row>
    <row r="64">
      <c r="A64" s="22" t="n"/>
      <c r="B64" s="17">
        <f>IF($A64="","",IFERROR(INDEX(案件管理!$E:$E,MATCH($A64,案件管理!$A:$A,0)),""))</f>
        <v/>
      </c>
      <c r="C64" s="23" t="n"/>
      <c r="D64" s="23" t="n"/>
      <c r="E64" s="23" t="n"/>
      <c r="F64" s="23" t="n"/>
      <c r="G64" s="23" t="n"/>
      <c r="H64" s="23" t="n"/>
      <c r="I64" s="23" t="n"/>
      <c r="J64" s="23" t="n"/>
      <c r="K64" s="23" t="n"/>
      <c r="L64" s="23" t="n"/>
      <c r="M64" s="23" t="n"/>
      <c r="N64" s="23" t="n"/>
      <c r="O64" s="19">
        <f>COUNTIF($C64:$N64,"◯")*2+COUNTIF($C64:$N64,"△〜◯")*1.5+COUNTIF($C64:$N64,"△")*1+COUNTIF($C64:$N64,"×〜△")*0.5</f>
        <v/>
      </c>
      <c r="P64" s="20">
        <f>COUNTIF($C64:$N64,"◯")+COUNTIF($C64:$N64,"△〜◯")+COUNTIF($C64:$N64,"△")+COUNTIF($C64:$N64,"×〜△")+COUNTIF($C64:$N64,"×")</f>
        <v/>
      </c>
      <c r="Q64" s="20">
        <f>COUNTIF($C64:$N64,"×")</f>
        <v/>
      </c>
      <c r="R64" s="20">
        <f>COUNTIF($C64,"×")+COUNTIF($D64,"×")+COUNTIF($F64,"×")+COUNTIF($I64,"×")</f>
        <v/>
      </c>
      <c r="S64" s="20">
        <f>IF($P64=0,"未入力",IF($R64&gt;0,"C：見送り（Must項目に×）",IF($Q64&gt;=2,"C：見送り（×が2項目以上）",IF($P64&lt;6,"B：追加情報を取得して再判定",IF(AND($Q64=0,$O64/($P64*2)&gt;=0.75),"A：進める（トップ面談・基本合意検討へ）","B：追加情報を取得して再判定")))))</f>
        <v/>
      </c>
      <c r="T64" s="21">
        <f>IF($P64=0,"",$O64/($P64*2))</f>
        <v/>
      </c>
    </row>
    <row r="65">
      <c r="A65" s="22" t="n"/>
      <c r="B65" s="17">
        <f>IF($A65="","",IFERROR(INDEX(案件管理!$E:$E,MATCH($A65,案件管理!$A:$A,0)),""))</f>
        <v/>
      </c>
      <c r="C65" s="23" t="n"/>
      <c r="D65" s="23" t="n"/>
      <c r="E65" s="23" t="n"/>
      <c r="F65" s="23" t="n"/>
      <c r="G65" s="23" t="n"/>
      <c r="H65" s="23" t="n"/>
      <c r="I65" s="23" t="n"/>
      <c r="J65" s="23" t="n"/>
      <c r="K65" s="23" t="n"/>
      <c r="L65" s="23" t="n"/>
      <c r="M65" s="23" t="n"/>
      <c r="N65" s="23" t="n"/>
      <c r="O65" s="19">
        <f>COUNTIF($C65:$N65,"◯")*2+COUNTIF($C65:$N65,"△〜◯")*1.5+COUNTIF($C65:$N65,"△")*1+COUNTIF($C65:$N65,"×〜△")*0.5</f>
        <v/>
      </c>
      <c r="P65" s="20">
        <f>COUNTIF($C65:$N65,"◯")+COUNTIF($C65:$N65,"△〜◯")+COUNTIF($C65:$N65,"△")+COUNTIF($C65:$N65,"×〜△")+COUNTIF($C65:$N65,"×")</f>
        <v/>
      </c>
      <c r="Q65" s="20">
        <f>COUNTIF($C65:$N65,"×")</f>
        <v/>
      </c>
      <c r="R65" s="20">
        <f>COUNTIF($C65,"×")+COUNTIF($D65,"×")+COUNTIF($F65,"×")+COUNTIF($I65,"×")</f>
        <v/>
      </c>
      <c r="S65" s="20">
        <f>IF($P65=0,"未入力",IF($R65&gt;0,"C：見送り（Must項目に×）",IF($Q65&gt;=2,"C：見送り（×が2項目以上）",IF($P65&lt;6,"B：追加情報を取得して再判定",IF(AND($Q65=0,$O65/($P65*2)&gt;=0.75),"A：進める（トップ面談・基本合意検討へ）","B：追加情報を取得して再判定")))))</f>
        <v/>
      </c>
      <c r="T65" s="21">
        <f>IF($P65=0,"",$O65/($P65*2))</f>
        <v/>
      </c>
    </row>
    <row r="66">
      <c r="A66" s="22" t="n"/>
      <c r="B66" s="17">
        <f>IF($A66="","",IFERROR(INDEX(案件管理!$E:$E,MATCH($A66,案件管理!$A:$A,0)),""))</f>
        <v/>
      </c>
      <c r="C66" s="23" t="n"/>
      <c r="D66" s="23" t="n"/>
      <c r="E66" s="23" t="n"/>
      <c r="F66" s="23" t="n"/>
      <c r="G66" s="23" t="n"/>
      <c r="H66" s="23" t="n"/>
      <c r="I66" s="23" t="n"/>
      <c r="J66" s="23" t="n"/>
      <c r="K66" s="23" t="n"/>
      <c r="L66" s="23" t="n"/>
      <c r="M66" s="23" t="n"/>
      <c r="N66" s="23" t="n"/>
      <c r="O66" s="19">
        <f>COUNTIF($C66:$N66,"◯")*2+COUNTIF($C66:$N66,"△〜◯")*1.5+COUNTIF($C66:$N66,"△")*1+COUNTIF($C66:$N66,"×〜△")*0.5</f>
        <v/>
      </c>
      <c r="P66" s="20">
        <f>COUNTIF($C66:$N66,"◯")+COUNTIF($C66:$N66,"△〜◯")+COUNTIF($C66:$N66,"△")+COUNTIF($C66:$N66,"×〜△")+COUNTIF($C66:$N66,"×")</f>
        <v/>
      </c>
      <c r="Q66" s="20">
        <f>COUNTIF($C66:$N66,"×")</f>
        <v/>
      </c>
      <c r="R66" s="20">
        <f>COUNTIF($C66,"×")+COUNTIF($D66,"×")+COUNTIF($F66,"×")+COUNTIF($I66,"×")</f>
        <v/>
      </c>
      <c r="S66" s="20">
        <f>IF($P66=0,"未入力",IF($R66&gt;0,"C：見送り（Must項目に×）",IF($Q66&gt;=2,"C：見送り（×が2項目以上）",IF($P66&lt;6,"B：追加情報を取得して再判定",IF(AND($Q66=0,$O66/($P66*2)&gt;=0.75),"A：進める（トップ面談・基本合意検討へ）","B：追加情報を取得して再判定")))))</f>
        <v/>
      </c>
      <c r="T66" s="21">
        <f>IF($P66=0,"",$O66/($P66*2))</f>
        <v/>
      </c>
    </row>
    <row r="67">
      <c r="A67" s="22" t="n"/>
      <c r="B67" s="17">
        <f>IF($A67="","",IFERROR(INDEX(案件管理!$E:$E,MATCH($A67,案件管理!$A:$A,0)),""))</f>
        <v/>
      </c>
      <c r="C67" s="23" t="n"/>
      <c r="D67" s="23" t="n"/>
      <c r="E67" s="23" t="n"/>
      <c r="F67" s="23" t="n"/>
      <c r="G67" s="23" t="n"/>
      <c r="H67" s="23" t="n"/>
      <c r="I67" s="23" t="n"/>
      <c r="J67" s="23" t="n"/>
      <c r="K67" s="23" t="n"/>
      <c r="L67" s="23" t="n"/>
      <c r="M67" s="23" t="n"/>
      <c r="N67" s="23" t="n"/>
      <c r="O67" s="19">
        <f>COUNTIF($C67:$N67,"◯")*2+COUNTIF($C67:$N67,"△〜◯")*1.5+COUNTIF($C67:$N67,"△")*1+COUNTIF($C67:$N67,"×〜△")*0.5</f>
        <v/>
      </c>
      <c r="P67" s="20">
        <f>COUNTIF($C67:$N67,"◯")+COUNTIF($C67:$N67,"△〜◯")+COUNTIF($C67:$N67,"△")+COUNTIF($C67:$N67,"×〜△")+COUNTIF($C67:$N67,"×")</f>
        <v/>
      </c>
      <c r="Q67" s="20">
        <f>COUNTIF($C67:$N67,"×")</f>
        <v/>
      </c>
      <c r="R67" s="20">
        <f>COUNTIF($C67,"×")+COUNTIF($D67,"×")+COUNTIF($F67,"×")+COUNTIF($I67,"×")</f>
        <v/>
      </c>
      <c r="S67" s="20">
        <f>IF($P67=0,"未入力",IF($R67&gt;0,"C：見送り（Must項目に×）",IF($Q67&gt;=2,"C：見送り（×が2項目以上）",IF($P67&lt;6,"B：追加情報を取得して再判定",IF(AND($Q67=0,$O67/($P67*2)&gt;=0.75),"A：進める（トップ面談・基本合意検討へ）","B：追加情報を取得して再判定")))))</f>
        <v/>
      </c>
      <c r="T67" s="21">
        <f>IF($P67=0,"",$O67/($P67*2))</f>
        <v/>
      </c>
    </row>
    <row r="68">
      <c r="A68" s="22" t="n"/>
      <c r="B68" s="17">
        <f>IF($A68="","",IFERROR(INDEX(案件管理!$E:$E,MATCH($A68,案件管理!$A:$A,0)),""))</f>
        <v/>
      </c>
      <c r="C68" s="23" t="n"/>
      <c r="D68" s="23" t="n"/>
      <c r="E68" s="23" t="n"/>
      <c r="F68" s="23" t="n"/>
      <c r="G68" s="23" t="n"/>
      <c r="H68" s="23" t="n"/>
      <c r="I68" s="23" t="n"/>
      <c r="J68" s="23" t="n"/>
      <c r="K68" s="23" t="n"/>
      <c r="L68" s="23" t="n"/>
      <c r="M68" s="23" t="n"/>
      <c r="N68" s="23" t="n"/>
      <c r="O68" s="19">
        <f>COUNTIF($C68:$N68,"◯")*2+COUNTIF($C68:$N68,"△〜◯")*1.5+COUNTIF($C68:$N68,"△")*1+COUNTIF($C68:$N68,"×〜△")*0.5</f>
        <v/>
      </c>
      <c r="P68" s="20">
        <f>COUNTIF($C68:$N68,"◯")+COUNTIF($C68:$N68,"△〜◯")+COUNTIF($C68:$N68,"△")+COUNTIF($C68:$N68,"×〜△")+COUNTIF($C68:$N68,"×")</f>
        <v/>
      </c>
      <c r="Q68" s="20">
        <f>COUNTIF($C68:$N68,"×")</f>
        <v/>
      </c>
      <c r="R68" s="20">
        <f>COUNTIF($C68,"×")+COUNTIF($D68,"×")+COUNTIF($F68,"×")+COUNTIF($I68,"×")</f>
        <v/>
      </c>
      <c r="S68" s="20">
        <f>IF($P68=0,"未入力",IF($R68&gt;0,"C：見送り（Must項目に×）",IF($Q68&gt;=2,"C：見送り（×が2項目以上）",IF($P68&lt;6,"B：追加情報を取得して再判定",IF(AND($Q68=0,$O68/($P68*2)&gt;=0.75),"A：進める（トップ面談・基本合意検討へ）","B：追加情報を取得して再判定")))))</f>
        <v/>
      </c>
      <c r="T68" s="21">
        <f>IF($P68=0,"",$O68/($P68*2))</f>
        <v/>
      </c>
    </row>
    <row r="69">
      <c r="A69" s="22" t="n"/>
      <c r="B69" s="17">
        <f>IF($A69="","",IFERROR(INDEX(案件管理!$E:$E,MATCH($A69,案件管理!$A:$A,0)),""))</f>
        <v/>
      </c>
      <c r="C69" s="23" t="n"/>
      <c r="D69" s="23" t="n"/>
      <c r="E69" s="23" t="n"/>
      <c r="F69" s="23" t="n"/>
      <c r="G69" s="23" t="n"/>
      <c r="H69" s="23" t="n"/>
      <c r="I69" s="23" t="n"/>
      <c r="J69" s="23" t="n"/>
      <c r="K69" s="23" t="n"/>
      <c r="L69" s="23" t="n"/>
      <c r="M69" s="23" t="n"/>
      <c r="N69" s="23" t="n"/>
      <c r="O69" s="19">
        <f>COUNTIF($C69:$N69,"◯")*2+COUNTIF($C69:$N69,"△〜◯")*1.5+COUNTIF($C69:$N69,"△")*1+COUNTIF($C69:$N69,"×〜△")*0.5</f>
        <v/>
      </c>
      <c r="P69" s="20">
        <f>COUNTIF($C69:$N69,"◯")+COUNTIF($C69:$N69,"△〜◯")+COUNTIF($C69:$N69,"△")+COUNTIF($C69:$N69,"×〜△")+COUNTIF($C69:$N69,"×")</f>
        <v/>
      </c>
      <c r="Q69" s="20">
        <f>COUNTIF($C69:$N69,"×")</f>
        <v/>
      </c>
      <c r="R69" s="20">
        <f>COUNTIF($C69,"×")+COUNTIF($D69,"×")+COUNTIF($F69,"×")+COUNTIF($I69,"×")</f>
        <v/>
      </c>
      <c r="S69" s="20">
        <f>IF($P69=0,"未入力",IF($R69&gt;0,"C：見送り（Must項目に×）",IF($Q69&gt;=2,"C：見送り（×が2項目以上）",IF($P69&lt;6,"B：追加情報を取得して再判定",IF(AND($Q69=0,$O69/($P69*2)&gt;=0.75),"A：進める（トップ面談・基本合意検討へ）","B：追加情報を取得して再判定")))))</f>
        <v/>
      </c>
      <c r="T69" s="21">
        <f>IF($P69=0,"",$O69/($P69*2))</f>
        <v/>
      </c>
    </row>
    <row r="70">
      <c r="A70" s="22" t="n"/>
      <c r="B70" s="17">
        <f>IF($A70="","",IFERROR(INDEX(案件管理!$E:$E,MATCH($A70,案件管理!$A:$A,0)),""))</f>
        <v/>
      </c>
      <c r="C70" s="23" t="n"/>
      <c r="D70" s="23" t="n"/>
      <c r="E70" s="23" t="n"/>
      <c r="F70" s="23" t="n"/>
      <c r="G70" s="23" t="n"/>
      <c r="H70" s="23" t="n"/>
      <c r="I70" s="23" t="n"/>
      <c r="J70" s="23" t="n"/>
      <c r="K70" s="23" t="n"/>
      <c r="L70" s="23" t="n"/>
      <c r="M70" s="23" t="n"/>
      <c r="N70" s="23" t="n"/>
      <c r="O70" s="19">
        <f>COUNTIF($C70:$N70,"◯")*2+COUNTIF($C70:$N70,"△〜◯")*1.5+COUNTIF($C70:$N70,"△")*1+COUNTIF($C70:$N70,"×〜△")*0.5</f>
        <v/>
      </c>
      <c r="P70" s="20">
        <f>COUNTIF($C70:$N70,"◯")+COUNTIF($C70:$N70,"△〜◯")+COUNTIF($C70:$N70,"△")+COUNTIF($C70:$N70,"×〜△")+COUNTIF($C70:$N70,"×")</f>
        <v/>
      </c>
      <c r="Q70" s="20">
        <f>COUNTIF($C70:$N70,"×")</f>
        <v/>
      </c>
      <c r="R70" s="20">
        <f>COUNTIF($C70,"×")+COUNTIF($D70,"×")+COUNTIF($F70,"×")+COUNTIF($I70,"×")</f>
        <v/>
      </c>
      <c r="S70" s="20">
        <f>IF($P70=0,"未入力",IF($R70&gt;0,"C：見送り（Must項目に×）",IF($Q70&gt;=2,"C：見送り（×が2項目以上）",IF($P70&lt;6,"B：追加情報を取得して再判定",IF(AND($Q70=0,$O70/($P70*2)&gt;=0.75),"A：進める（トップ面談・基本合意検討へ）","B：追加情報を取得して再判定")))))</f>
        <v/>
      </c>
      <c r="T70" s="21">
        <f>IF($P70=0,"",$O70/($P70*2))</f>
        <v/>
      </c>
    </row>
    <row r="71">
      <c r="A71" s="22" t="n"/>
      <c r="B71" s="17">
        <f>IF($A71="","",IFERROR(INDEX(案件管理!$E:$E,MATCH($A71,案件管理!$A:$A,0)),""))</f>
        <v/>
      </c>
      <c r="C71" s="23" t="n"/>
      <c r="D71" s="23" t="n"/>
      <c r="E71" s="23" t="n"/>
      <c r="F71" s="23" t="n"/>
      <c r="G71" s="23" t="n"/>
      <c r="H71" s="23" t="n"/>
      <c r="I71" s="23" t="n"/>
      <c r="J71" s="23" t="n"/>
      <c r="K71" s="23" t="n"/>
      <c r="L71" s="23" t="n"/>
      <c r="M71" s="23" t="n"/>
      <c r="N71" s="23" t="n"/>
      <c r="O71" s="19">
        <f>COUNTIF($C71:$N71,"◯")*2+COUNTIF($C71:$N71,"△〜◯")*1.5+COUNTIF($C71:$N71,"△")*1+COUNTIF($C71:$N71,"×〜△")*0.5</f>
        <v/>
      </c>
      <c r="P71" s="20">
        <f>COUNTIF($C71:$N71,"◯")+COUNTIF($C71:$N71,"△〜◯")+COUNTIF($C71:$N71,"△")+COUNTIF($C71:$N71,"×〜△")+COUNTIF($C71:$N71,"×")</f>
        <v/>
      </c>
      <c r="Q71" s="20">
        <f>COUNTIF($C71:$N71,"×")</f>
        <v/>
      </c>
      <c r="R71" s="20">
        <f>COUNTIF($C71,"×")+COUNTIF($D71,"×")+COUNTIF($F71,"×")+COUNTIF($I71,"×")</f>
        <v/>
      </c>
      <c r="S71" s="20">
        <f>IF($P71=0,"未入力",IF($R71&gt;0,"C：見送り（Must項目に×）",IF($Q71&gt;=2,"C：見送り（×が2項目以上）",IF($P71&lt;6,"B：追加情報を取得して再判定",IF(AND($Q71=0,$O71/($P71*2)&gt;=0.75),"A：進める（トップ面談・基本合意検討へ）","B：追加情報を取得して再判定")))))</f>
        <v/>
      </c>
      <c r="T71" s="21">
        <f>IF($P71=0,"",$O71/($P71*2))</f>
        <v/>
      </c>
    </row>
    <row r="72">
      <c r="A72" s="22" t="n"/>
      <c r="B72" s="17">
        <f>IF($A72="","",IFERROR(INDEX(案件管理!$E:$E,MATCH($A72,案件管理!$A:$A,0)),""))</f>
        <v/>
      </c>
      <c r="C72" s="23" t="n"/>
      <c r="D72" s="23" t="n"/>
      <c r="E72" s="23" t="n"/>
      <c r="F72" s="23" t="n"/>
      <c r="G72" s="23" t="n"/>
      <c r="H72" s="23" t="n"/>
      <c r="I72" s="23" t="n"/>
      <c r="J72" s="23" t="n"/>
      <c r="K72" s="23" t="n"/>
      <c r="L72" s="23" t="n"/>
      <c r="M72" s="23" t="n"/>
      <c r="N72" s="23" t="n"/>
      <c r="O72" s="19">
        <f>COUNTIF($C72:$N72,"◯")*2+COUNTIF($C72:$N72,"△〜◯")*1.5+COUNTIF($C72:$N72,"△")*1+COUNTIF($C72:$N72,"×〜△")*0.5</f>
        <v/>
      </c>
      <c r="P72" s="20">
        <f>COUNTIF($C72:$N72,"◯")+COUNTIF($C72:$N72,"△〜◯")+COUNTIF($C72:$N72,"△")+COUNTIF($C72:$N72,"×〜△")+COUNTIF($C72:$N72,"×")</f>
        <v/>
      </c>
      <c r="Q72" s="20">
        <f>COUNTIF($C72:$N72,"×")</f>
        <v/>
      </c>
      <c r="R72" s="20">
        <f>COUNTIF($C72,"×")+COUNTIF($D72,"×")+COUNTIF($F72,"×")+COUNTIF($I72,"×")</f>
        <v/>
      </c>
      <c r="S72" s="20">
        <f>IF($P72=0,"未入力",IF($R72&gt;0,"C：見送り（Must項目に×）",IF($Q72&gt;=2,"C：見送り（×が2項目以上）",IF($P72&lt;6,"B：追加情報を取得して再判定",IF(AND($Q72=0,$O72/($P72*2)&gt;=0.75),"A：進める（トップ面談・基本合意検討へ）","B：追加情報を取得して再判定")))))</f>
        <v/>
      </c>
      <c r="T72" s="21">
        <f>IF($P72=0,"",$O72/($P72*2))</f>
        <v/>
      </c>
    </row>
    <row r="73">
      <c r="A73" s="22" t="n"/>
      <c r="B73" s="17">
        <f>IF($A73="","",IFERROR(INDEX(案件管理!$E:$E,MATCH($A73,案件管理!$A:$A,0)),""))</f>
        <v/>
      </c>
      <c r="C73" s="23" t="n"/>
      <c r="D73" s="23" t="n"/>
      <c r="E73" s="23" t="n"/>
      <c r="F73" s="23" t="n"/>
      <c r="G73" s="23" t="n"/>
      <c r="H73" s="23" t="n"/>
      <c r="I73" s="23" t="n"/>
      <c r="J73" s="23" t="n"/>
      <c r="K73" s="23" t="n"/>
      <c r="L73" s="23" t="n"/>
      <c r="M73" s="23" t="n"/>
      <c r="N73" s="23" t="n"/>
      <c r="O73" s="19">
        <f>COUNTIF($C73:$N73,"◯")*2+COUNTIF($C73:$N73,"△〜◯")*1.5+COUNTIF($C73:$N73,"△")*1+COUNTIF($C73:$N73,"×〜△")*0.5</f>
        <v/>
      </c>
      <c r="P73" s="20">
        <f>COUNTIF($C73:$N73,"◯")+COUNTIF($C73:$N73,"△〜◯")+COUNTIF($C73:$N73,"△")+COUNTIF($C73:$N73,"×〜△")+COUNTIF($C73:$N73,"×")</f>
        <v/>
      </c>
      <c r="Q73" s="20">
        <f>COUNTIF($C73:$N73,"×")</f>
        <v/>
      </c>
      <c r="R73" s="20">
        <f>COUNTIF($C73,"×")+COUNTIF($D73,"×")+COUNTIF($F73,"×")+COUNTIF($I73,"×")</f>
        <v/>
      </c>
      <c r="S73" s="20">
        <f>IF($P73=0,"未入力",IF($R73&gt;0,"C：見送り（Must項目に×）",IF($Q73&gt;=2,"C：見送り（×が2項目以上）",IF($P73&lt;6,"B：追加情報を取得して再判定",IF(AND($Q73=0,$O73/($P73*2)&gt;=0.75),"A：進める（トップ面談・基本合意検討へ）","B：追加情報を取得して再判定")))))</f>
        <v/>
      </c>
      <c r="T73" s="21">
        <f>IF($P73=0,"",$O73/($P73*2))</f>
        <v/>
      </c>
    </row>
    <row r="74">
      <c r="A74" s="22" t="n"/>
      <c r="B74" s="17">
        <f>IF($A74="","",IFERROR(INDEX(案件管理!$E:$E,MATCH($A74,案件管理!$A:$A,0)),""))</f>
        <v/>
      </c>
      <c r="C74" s="23" t="n"/>
      <c r="D74" s="23" t="n"/>
      <c r="E74" s="23" t="n"/>
      <c r="F74" s="23" t="n"/>
      <c r="G74" s="23" t="n"/>
      <c r="H74" s="23" t="n"/>
      <c r="I74" s="23" t="n"/>
      <c r="J74" s="23" t="n"/>
      <c r="K74" s="23" t="n"/>
      <c r="L74" s="23" t="n"/>
      <c r="M74" s="23" t="n"/>
      <c r="N74" s="23" t="n"/>
      <c r="O74" s="19">
        <f>COUNTIF($C74:$N74,"◯")*2+COUNTIF($C74:$N74,"△〜◯")*1.5+COUNTIF($C74:$N74,"△")*1+COUNTIF($C74:$N74,"×〜△")*0.5</f>
        <v/>
      </c>
      <c r="P74" s="20">
        <f>COUNTIF($C74:$N74,"◯")+COUNTIF($C74:$N74,"△〜◯")+COUNTIF($C74:$N74,"△")+COUNTIF($C74:$N74,"×〜△")+COUNTIF($C74:$N74,"×")</f>
        <v/>
      </c>
      <c r="Q74" s="20">
        <f>COUNTIF($C74:$N74,"×")</f>
        <v/>
      </c>
      <c r="R74" s="20">
        <f>COUNTIF($C74,"×")+COUNTIF($D74,"×")+COUNTIF($F74,"×")+COUNTIF($I74,"×")</f>
        <v/>
      </c>
      <c r="S74" s="20">
        <f>IF($P74=0,"未入力",IF($R74&gt;0,"C：見送り（Must項目に×）",IF($Q74&gt;=2,"C：見送り（×が2項目以上）",IF($P74&lt;6,"B：追加情報を取得して再判定",IF(AND($Q74=0,$O74/($P74*2)&gt;=0.75),"A：進める（トップ面談・基本合意検討へ）","B：追加情報を取得して再判定")))))</f>
        <v/>
      </c>
      <c r="T74" s="21">
        <f>IF($P74=0,"",$O74/($P74*2))</f>
        <v/>
      </c>
    </row>
    <row r="75">
      <c r="A75" s="22" t="n"/>
      <c r="B75" s="17">
        <f>IF($A75="","",IFERROR(INDEX(案件管理!$E:$E,MATCH($A75,案件管理!$A:$A,0)),""))</f>
        <v/>
      </c>
      <c r="C75" s="23" t="n"/>
      <c r="D75" s="23" t="n"/>
      <c r="E75" s="23" t="n"/>
      <c r="F75" s="23" t="n"/>
      <c r="G75" s="23" t="n"/>
      <c r="H75" s="23" t="n"/>
      <c r="I75" s="23" t="n"/>
      <c r="J75" s="23" t="n"/>
      <c r="K75" s="23" t="n"/>
      <c r="L75" s="23" t="n"/>
      <c r="M75" s="23" t="n"/>
      <c r="N75" s="23" t="n"/>
      <c r="O75" s="19">
        <f>COUNTIF($C75:$N75,"◯")*2+COUNTIF($C75:$N75,"△〜◯")*1.5+COUNTIF($C75:$N75,"△")*1+COUNTIF($C75:$N75,"×〜△")*0.5</f>
        <v/>
      </c>
      <c r="P75" s="20">
        <f>COUNTIF($C75:$N75,"◯")+COUNTIF($C75:$N75,"△〜◯")+COUNTIF($C75:$N75,"△")+COUNTIF($C75:$N75,"×〜△")+COUNTIF($C75:$N75,"×")</f>
        <v/>
      </c>
      <c r="Q75" s="20">
        <f>COUNTIF($C75:$N75,"×")</f>
        <v/>
      </c>
      <c r="R75" s="20">
        <f>COUNTIF($C75,"×")+COUNTIF($D75,"×")+COUNTIF($F75,"×")+COUNTIF($I75,"×")</f>
        <v/>
      </c>
      <c r="S75" s="20">
        <f>IF($P75=0,"未入力",IF($R75&gt;0,"C：見送り（Must項目に×）",IF($Q75&gt;=2,"C：見送り（×が2項目以上）",IF($P75&lt;6,"B：追加情報を取得して再判定",IF(AND($Q75=0,$O75/($P75*2)&gt;=0.75),"A：進める（トップ面談・基本合意検討へ）","B：追加情報を取得して再判定")))))</f>
        <v/>
      </c>
      <c r="T75" s="21">
        <f>IF($P75=0,"",$O75/($P75*2))</f>
        <v/>
      </c>
    </row>
    <row r="76">
      <c r="A76" s="22" t="n"/>
      <c r="B76" s="17">
        <f>IF($A76="","",IFERROR(INDEX(案件管理!$E:$E,MATCH($A76,案件管理!$A:$A,0)),""))</f>
        <v/>
      </c>
      <c r="C76" s="23" t="n"/>
      <c r="D76" s="23" t="n"/>
      <c r="E76" s="23" t="n"/>
      <c r="F76" s="23" t="n"/>
      <c r="G76" s="23" t="n"/>
      <c r="H76" s="23" t="n"/>
      <c r="I76" s="23" t="n"/>
      <c r="J76" s="23" t="n"/>
      <c r="K76" s="23" t="n"/>
      <c r="L76" s="23" t="n"/>
      <c r="M76" s="23" t="n"/>
      <c r="N76" s="23" t="n"/>
      <c r="O76" s="19">
        <f>COUNTIF($C76:$N76,"◯")*2+COUNTIF($C76:$N76,"△〜◯")*1.5+COUNTIF($C76:$N76,"△")*1+COUNTIF($C76:$N76,"×〜△")*0.5</f>
        <v/>
      </c>
      <c r="P76" s="20">
        <f>COUNTIF($C76:$N76,"◯")+COUNTIF($C76:$N76,"△〜◯")+COUNTIF($C76:$N76,"△")+COUNTIF($C76:$N76,"×〜△")+COUNTIF($C76:$N76,"×")</f>
        <v/>
      </c>
      <c r="Q76" s="20">
        <f>COUNTIF($C76:$N76,"×")</f>
        <v/>
      </c>
      <c r="R76" s="20">
        <f>COUNTIF($C76,"×")+COUNTIF($D76,"×")+COUNTIF($F76,"×")+COUNTIF($I76,"×")</f>
        <v/>
      </c>
      <c r="S76" s="20">
        <f>IF($P76=0,"未入力",IF($R76&gt;0,"C：見送り（Must項目に×）",IF($Q76&gt;=2,"C：見送り（×が2項目以上）",IF($P76&lt;6,"B：追加情報を取得して再判定",IF(AND($Q76=0,$O76/($P76*2)&gt;=0.75),"A：進める（トップ面談・基本合意検討へ）","B：追加情報を取得して再判定")))))</f>
        <v/>
      </c>
      <c r="T76" s="21">
        <f>IF($P76=0,"",$O76/($P76*2))</f>
        <v/>
      </c>
    </row>
    <row r="77">
      <c r="A77" s="22" t="n"/>
      <c r="B77" s="17">
        <f>IF($A77="","",IFERROR(INDEX(案件管理!$E:$E,MATCH($A77,案件管理!$A:$A,0)),""))</f>
        <v/>
      </c>
      <c r="C77" s="23" t="n"/>
      <c r="D77" s="23" t="n"/>
      <c r="E77" s="23" t="n"/>
      <c r="F77" s="23" t="n"/>
      <c r="G77" s="23" t="n"/>
      <c r="H77" s="23" t="n"/>
      <c r="I77" s="23" t="n"/>
      <c r="J77" s="23" t="n"/>
      <c r="K77" s="23" t="n"/>
      <c r="L77" s="23" t="n"/>
      <c r="M77" s="23" t="n"/>
      <c r="N77" s="23" t="n"/>
      <c r="O77" s="19">
        <f>COUNTIF($C77:$N77,"◯")*2+COUNTIF($C77:$N77,"△〜◯")*1.5+COUNTIF($C77:$N77,"△")*1+COUNTIF($C77:$N77,"×〜△")*0.5</f>
        <v/>
      </c>
      <c r="P77" s="20">
        <f>COUNTIF($C77:$N77,"◯")+COUNTIF($C77:$N77,"△〜◯")+COUNTIF($C77:$N77,"△")+COUNTIF($C77:$N77,"×〜△")+COUNTIF($C77:$N77,"×")</f>
        <v/>
      </c>
      <c r="Q77" s="20">
        <f>COUNTIF($C77:$N77,"×")</f>
        <v/>
      </c>
      <c r="R77" s="20">
        <f>COUNTIF($C77,"×")+COUNTIF($D77,"×")+COUNTIF($F77,"×")+COUNTIF($I77,"×")</f>
        <v/>
      </c>
      <c r="S77" s="20">
        <f>IF($P77=0,"未入力",IF($R77&gt;0,"C：見送り（Must項目に×）",IF($Q77&gt;=2,"C：見送り（×が2項目以上）",IF($P77&lt;6,"B：追加情報を取得して再判定",IF(AND($Q77=0,$O77/($P77*2)&gt;=0.75),"A：進める（トップ面談・基本合意検討へ）","B：追加情報を取得して再判定")))))</f>
        <v/>
      </c>
      <c r="T77" s="21">
        <f>IF($P77=0,"",$O77/($P77*2))</f>
        <v/>
      </c>
    </row>
    <row r="78">
      <c r="A78" s="22" t="n"/>
      <c r="B78" s="17">
        <f>IF($A78="","",IFERROR(INDEX(案件管理!$E:$E,MATCH($A78,案件管理!$A:$A,0)),""))</f>
        <v/>
      </c>
      <c r="C78" s="23" t="n"/>
      <c r="D78" s="23" t="n"/>
      <c r="E78" s="23" t="n"/>
      <c r="F78" s="23" t="n"/>
      <c r="G78" s="23" t="n"/>
      <c r="H78" s="23" t="n"/>
      <c r="I78" s="23" t="n"/>
      <c r="J78" s="23" t="n"/>
      <c r="K78" s="23" t="n"/>
      <c r="L78" s="23" t="n"/>
      <c r="M78" s="23" t="n"/>
      <c r="N78" s="23" t="n"/>
      <c r="O78" s="19">
        <f>COUNTIF($C78:$N78,"◯")*2+COUNTIF($C78:$N78,"△〜◯")*1.5+COUNTIF($C78:$N78,"△")*1+COUNTIF($C78:$N78,"×〜△")*0.5</f>
        <v/>
      </c>
      <c r="P78" s="20">
        <f>COUNTIF($C78:$N78,"◯")+COUNTIF($C78:$N78,"△〜◯")+COUNTIF($C78:$N78,"△")+COUNTIF($C78:$N78,"×〜△")+COUNTIF($C78:$N78,"×")</f>
        <v/>
      </c>
      <c r="Q78" s="20">
        <f>COUNTIF($C78:$N78,"×")</f>
        <v/>
      </c>
      <c r="R78" s="20">
        <f>COUNTIF($C78,"×")+COUNTIF($D78,"×")+COUNTIF($F78,"×")+COUNTIF($I78,"×")</f>
        <v/>
      </c>
      <c r="S78" s="20">
        <f>IF($P78=0,"未入力",IF($R78&gt;0,"C：見送り（Must項目に×）",IF($Q78&gt;=2,"C：見送り（×が2項目以上）",IF($P78&lt;6,"B：追加情報を取得して再判定",IF(AND($Q78=0,$O78/($P78*2)&gt;=0.75),"A：進める（トップ面談・基本合意検討へ）","B：追加情報を取得して再判定")))))</f>
        <v/>
      </c>
      <c r="T78" s="21">
        <f>IF($P78=0,"",$O78/($P78*2))</f>
        <v/>
      </c>
    </row>
    <row r="79">
      <c r="A79" s="22" t="n"/>
      <c r="B79" s="17">
        <f>IF($A79="","",IFERROR(INDEX(案件管理!$E:$E,MATCH($A79,案件管理!$A:$A,0)),""))</f>
        <v/>
      </c>
      <c r="C79" s="23" t="n"/>
      <c r="D79" s="23" t="n"/>
      <c r="E79" s="23" t="n"/>
      <c r="F79" s="23" t="n"/>
      <c r="G79" s="23" t="n"/>
      <c r="H79" s="23" t="n"/>
      <c r="I79" s="23" t="n"/>
      <c r="J79" s="23" t="n"/>
      <c r="K79" s="23" t="n"/>
      <c r="L79" s="23" t="n"/>
      <c r="M79" s="23" t="n"/>
      <c r="N79" s="23" t="n"/>
      <c r="O79" s="19">
        <f>COUNTIF($C79:$N79,"◯")*2+COUNTIF($C79:$N79,"△〜◯")*1.5+COUNTIF($C79:$N79,"△")*1+COUNTIF($C79:$N79,"×〜△")*0.5</f>
        <v/>
      </c>
      <c r="P79" s="20">
        <f>COUNTIF($C79:$N79,"◯")+COUNTIF($C79:$N79,"△〜◯")+COUNTIF($C79:$N79,"△")+COUNTIF($C79:$N79,"×〜△")+COUNTIF($C79:$N79,"×")</f>
        <v/>
      </c>
      <c r="Q79" s="20">
        <f>COUNTIF($C79:$N79,"×")</f>
        <v/>
      </c>
      <c r="R79" s="20">
        <f>COUNTIF($C79,"×")+COUNTIF($D79,"×")+COUNTIF($F79,"×")+COUNTIF($I79,"×")</f>
        <v/>
      </c>
      <c r="S79" s="20">
        <f>IF($P79=0,"未入力",IF($R79&gt;0,"C：見送り（Must項目に×）",IF($Q79&gt;=2,"C：見送り（×が2項目以上）",IF($P79&lt;6,"B：追加情報を取得して再判定",IF(AND($Q79=0,$O79/($P79*2)&gt;=0.75),"A：進める（トップ面談・基本合意検討へ）","B：追加情報を取得して再判定")))))</f>
        <v/>
      </c>
      <c r="T79" s="21">
        <f>IF($P79=0,"",$O79/($P79*2))</f>
        <v/>
      </c>
    </row>
    <row r="80">
      <c r="A80" s="22" t="n"/>
      <c r="B80" s="17">
        <f>IF($A80="","",IFERROR(INDEX(案件管理!$E:$E,MATCH($A80,案件管理!$A:$A,0)),""))</f>
        <v/>
      </c>
      <c r="C80" s="23" t="n"/>
      <c r="D80" s="23" t="n"/>
      <c r="E80" s="23" t="n"/>
      <c r="F80" s="23" t="n"/>
      <c r="G80" s="23" t="n"/>
      <c r="H80" s="23" t="n"/>
      <c r="I80" s="23" t="n"/>
      <c r="J80" s="23" t="n"/>
      <c r="K80" s="23" t="n"/>
      <c r="L80" s="23" t="n"/>
      <c r="M80" s="23" t="n"/>
      <c r="N80" s="23" t="n"/>
      <c r="O80" s="19">
        <f>COUNTIF($C80:$N80,"◯")*2+COUNTIF($C80:$N80,"△〜◯")*1.5+COUNTIF($C80:$N80,"△")*1+COUNTIF($C80:$N80,"×〜△")*0.5</f>
        <v/>
      </c>
      <c r="P80" s="20">
        <f>COUNTIF($C80:$N80,"◯")+COUNTIF($C80:$N80,"△〜◯")+COUNTIF($C80:$N80,"△")+COUNTIF($C80:$N80,"×〜△")+COUNTIF($C80:$N80,"×")</f>
        <v/>
      </c>
      <c r="Q80" s="20">
        <f>COUNTIF($C80:$N80,"×")</f>
        <v/>
      </c>
      <c r="R80" s="20">
        <f>COUNTIF($C80,"×")+COUNTIF($D80,"×")+COUNTIF($F80,"×")+COUNTIF($I80,"×")</f>
        <v/>
      </c>
      <c r="S80" s="20">
        <f>IF($P80=0,"未入力",IF($R80&gt;0,"C：見送り（Must項目に×）",IF($Q80&gt;=2,"C：見送り（×が2項目以上）",IF($P80&lt;6,"B：追加情報を取得して再判定",IF(AND($Q80=0,$O80/($P80*2)&gt;=0.75),"A：進める（トップ面談・基本合意検討へ）","B：追加情報を取得して再判定")))))</f>
        <v/>
      </c>
      <c r="T80" s="21">
        <f>IF($P80=0,"",$O80/($P80*2))</f>
        <v/>
      </c>
    </row>
    <row r="81">
      <c r="A81" s="22" t="n"/>
      <c r="B81" s="17">
        <f>IF($A81="","",IFERROR(INDEX(案件管理!$E:$E,MATCH($A81,案件管理!$A:$A,0)),""))</f>
        <v/>
      </c>
      <c r="C81" s="23" t="n"/>
      <c r="D81" s="23" t="n"/>
      <c r="E81" s="23" t="n"/>
      <c r="F81" s="23" t="n"/>
      <c r="G81" s="23" t="n"/>
      <c r="H81" s="23" t="n"/>
      <c r="I81" s="23" t="n"/>
      <c r="J81" s="23" t="n"/>
      <c r="K81" s="23" t="n"/>
      <c r="L81" s="23" t="n"/>
      <c r="M81" s="23" t="n"/>
      <c r="N81" s="23" t="n"/>
      <c r="O81" s="19">
        <f>COUNTIF($C81:$N81,"◯")*2+COUNTIF($C81:$N81,"△〜◯")*1.5+COUNTIF($C81:$N81,"△")*1+COUNTIF($C81:$N81,"×〜△")*0.5</f>
        <v/>
      </c>
      <c r="P81" s="20">
        <f>COUNTIF($C81:$N81,"◯")+COUNTIF($C81:$N81,"△〜◯")+COUNTIF($C81:$N81,"△")+COUNTIF($C81:$N81,"×〜△")+COUNTIF($C81:$N81,"×")</f>
        <v/>
      </c>
      <c r="Q81" s="20">
        <f>COUNTIF($C81:$N81,"×")</f>
        <v/>
      </c>
      <c r="R81" s="20">
        <f>COUNTIF($C81,"×")+COUNTIF($D81,"×")+COUNTIF($F81,"×")+COUNTIF($I81,"×")</f>
        <v/>
      </c>
      <c r="S81" s="20">
        <f>IF($P81=0,"未入力",IF($R81&gt;0,"C：見送り（Must項目に×）",IF($Q81&gt;=2,"C：見送り（×が2項目以上）",IF($P81&lt;6,"B：追加情報を取得して再判定",IF(AND($Q81=0,$O81/($P81*2)&gt;=0.75),"A：進める（トップ面談・基本合意検討へ）","B：追加情報を取得して再判定")))))</f>
        <v/>
      </c>
      <c r="T81" s="21">
        <f>IF($P81=0,"",$O81/($P81*2))</f>
        <v/>
      </c>
    </row>
    <row r="82">
      <c r="A82" s="22" t="n"/>
      <c r="B82" s="17">
        <f>IF($A82="","",IFERROR(INDEX(案件管理!$E:$E,MATCH($A82,案件管理!$A:$A,0)),""))</f>
        <v/>
      </c>
      <c r="C82" s="23" t="n"/>
      <c r="D82" s="23" t="n"/>
      <c r="E82" s="23" t="n"/>
      <c r="F82" s="23" t="n"/>
      <c r="G82" s="23" t="n"/>
      <c r="H82" s="23" t="n"/>
      <c r="I82" s="23" t="n"/>
      <c r="J82" s="23" t="n"/>
      <c r="K82" s="23" t="n"/>
      <c r="L82" s="23" t="n"/>
      <c r="M82" s="23" t="n"/>
      <c r="N82" s="23" t="n"/>
      <c r="O82" s="19">
        <f>COUNTIF($C82:$N82,"◯")*2+COUNTIF($C82:$N82,"△〜◯")*1.5+COUNTIF($C82:$N82,"△")*1+COUNTIF($C82:$N82,"×〜△")*0.5</f>
        <v/>
      </c>
      <c r="P82" s="20">
        <f>COUNTIF($C82:$N82,"◯")+COUNTIF($C82:$N82,"△〜◯")+COUNTIF($C82:$N82,"△")+COUNTIF($C82:$N82,"×〜△")+COUNTIF($C82:$N82,"×")</f>
        <v/>
      </c>
      <c r="Q82" s="20">
        <f>COUNTIF($C82:$N82,"×")</f>
        <v/>
      </c>
      <c r="R82" s="20">
        <f>COUNTIF($C82,"×")+COUNTIF($D82,"×")+COUNTIF($F82,"×")+COUNTIF($I82,"×")</f>
        <v/>
      </c>
      <c r="S82" s="20">
        <f>IF($P82=0,"未入力",IF($R82&gt;0,"C：見送り（Must項目に×）",IF($Q82&gt;=2,"C：見送り（×が2項目以上）",IF($P82&lt;6,"B：追加情報を取得して再判定",IF(AND($Q82=0,$O82/($P82*2)&gt;=0.75),"A：進める（トップ面談・基本合意検討へ）","B：追加情報を取得して再判定")))))</f>
        <v/>
      </c>
      <c r="T82" s="21">
        <f>IF($P82=0,"",$O82/($P82*2))</f>
        <v/>
      </c>
    </row>
    <row r="83">
      <c r="A83" s="22" t="n"/>
      <c r="B83" s="17">
        <f>IF($A83="","",IFERROR(INDEX(案件管理!$E:$E,MATCH($A83,案件管理!$A:$A,0)),""))</f>
        <v/>
      </c>
      <c r="C83" s="23" t="n"/>
      <c r="D83" s="23" t="n"/>
      <c r="E83" s="23" t="n"/>
      <c r="F83" s="23" t="n"/>
      <c r="G83" s="23" t="n"/>
      <c r="H83" s="23" t="n"/>
      <c r="I83" s="23" t="n"/>
      <c r="J83" s="23" t="n"/>
      <c r="K83" s="23" t="n"/>
      <c r="L83" s="23" t="n"/>
      <c r="M83" s="23" t="n"/>
      <c r="N83" s="23" t="n"/>
      <c r="O83" s="19">
        <f>COUNTIF($C83:$N83,"◯")*2+COUNTIF($C83:$N83,"△〜◯")*1.5+COUNTIF($C83:$N83,"△")*1+COUNTIF($C83:$N83,"×〜△")*0.5</f>
        <v/>
      </c>
      <c r="P83" s="20">
        <f>COUNTIF($C83:$N83,"◯")+COUNTIF($C83:$N83,"△〜◯")+COUNTIF($C83:$N83,"△")+COUNTIF($C83:$N83,"×〜△")+COUNTIF($C83:$N83,"×")</f>
        <v/>
      </c>
      <c r="Q83" s="20">
        <f>COUNTIF($C83:$N83,"×")</f>
        <v/>
      </c>
      <c r="R83" s="20">
        <f>COUNTIF($C83,"×")+COUNTIF($D83,"×")+COUNTIF($F83,"×")+COUNTIF($I83,"×")</f>
        <v/>
      </c>
      <c r="S83" s="20">
        <f>IF($P83=0,"未入力",IF($R83&gt;0,"C：見送り（Must項目に×）",IF($Q83&gt;=2,"C：見送り（×が2項目以上）",IF($P83&lt;6,"B：追加情報を取得して再判定",IF(AND($Q83=0,$O83/($P83*2)&gt;=0.75),"A：進める（トップ面談・基本合意検討へ）","B：追加情報を取得して再判定")))))</f>
        <v/>
      </c>
      <c r="T83" s="21">
        <f>IF($P83=0,"",$O83/($P83*2))</f>
        <v/>
      </c>
    </row>
    <row r="84">
      <c r="A84" s="22" t="n"/>
      <c r="B84" s="17">
        <f>IF($A84="","",IFERROR(INDEX(案件管理!$E:$E,MATCH($A84,案件管理!$A:$A,0)),""))</f>
        <v/>
      </c>
      <c r="C84" s="23" t="n"/>
      <c r="D84" s="23" t="n"/>
      <c r="E84" s="23" t="n"/>
      <c r="F84" s="23" t="n"/>
      <c r="G84" s="23" t="n"/>
      <c r="H84" s="23" t="n"/>
      <c r="I84" s="23" t="n"/>
      <c r="J84" s="23" t="n"/>
      <c r="K84" s="23" t="n"/>
      <c r="L84" s="23" t="n"/>
      <c r="M84" s="23" t="n"/>
      <c r="N84" s="23" t="n"/>
      <c r="O84" s="19">
        <f>COUNTIF($C84:$N84,"◯")*2+COUNTIF($C84:$N84,"△〜◯")*1.5+COUNTIF($C84:$N84,"△")*1+COUNTIF($C84:$N84,"×〜△")*0.5</f>
        <v/>
      </c>
      <c r="P84" s="20">
        <f>COUNTIF($C84:$N84,"◯")+COUNTIF($C84:$N84,"△〜◯")+COUNTIF($C84:$N84,"△")+COUNTIF($C84:$N84,"×〜△")+COUNTIF($C84:$N84,"×")</f>
        <v/>
      </c>
      <c r="Q84" s="20">
        <f>COUNTIF($C84:$N84,"×")</f>
        <v/>
      </c>
      <c r="R84" s="20">
        <f>COUNTIF($C84,"×")+COUNTIF($D84,"×")+COUNTIF($F84,"×")+COUNTIF($I84,"×")</f>
        <v/>
      </c>
      <c r="S84" s="20">
        <f>IF($P84=0,"未入力",IF($R84&gt;0,"C：見送り（Must項目に×）",IF($Q84&gt;=2,"C：見送り（×が2項目以上）",IF($P84&lt;6,"B：追加情報を取得して再判定",IF(AND($Q84=0,$O84/($P84*2)&gt;=0.75),"A：進める（トップ面談・基本合意検討へ）","B：追加情報を取得して再判定")))))</f>
        <v/>
      </c>
      <c r="T84" s="21">
        <f>IF($P84=0,"",$O84/($P84*2))</f>
        <v/>
      </c>
    </row>
    <row r="85">
      <c r="A85" s="22" t="n"/>
      <c r="B85" s="17">
        <f>IF($A85="","",IFERROR(INDEX(案件管理!$E:$E,MATCH($A85,案件管理!$A:$A,0)),""))</f>
        <v/>
      </c>
      <c r="C85" s="23" t="n"/>
      <c r="D85" s="23" t="n"/>
      <c r="E85" s="23" t="n"/>
      <c r="F85" s="23" t="n"/>
      <c r="G85" s="23" t="n"/>
      <c r="H85" s="23" t="n"/>
      <c r="I85" s="23" t="n"/>
      <c r="J85" s="23" t="n"/>
      <c r="K85" s="23" t="n"/>
      <c r="L85" s="23" t="n"/>
      <c r="M85" s="23" t="n"/>
      <c r="N85" s="23" t="n"/>
      <c r="O85" s="19">
        <f>COUNTIF($C85:$N85,"◯")*2+COUNTIF($C85:$N85,"△〜◯")*1.5+COUNTIF($C85:$N85,"△")*1+COUNTIF($C85:$N85,"×〜△")*0.5</f>
        <v/>
      </c>
      <c r="P85" s="20">
        <f>COUNTIF($C85:$N85,"◯")+COUNTIF($C85:$N85,"△〜◯")+COUNTIF($C85:$N85,"△")+COUNTIF($C85:$N85,"×〜△")+COUNTIF($C85:$N85,"×")</f>
        <v/>
      </c>
      <c r="Q85" s="20">
        <f>COUNTIF($C85:$N85,"×")</f>
        <v/>
      </c>
      <c r="R85" s="20">
        <f>COUNTIF($C85,"×")+COUNTIF($D85,"×")+COUNTIF($F85,"×")+COUNTIF($I85,"×")</f>
        <v/>
      </c>
      <c r="S85" s="20">
        <f>IF($P85=0,"未入力",IF($R85&gt;0,"C：見送り（Must項目に×）",IF($Q85&gt;=2,"C：見送り（×が2項目以上）",IF($P85&lt;6,"B：追加情報を取得して再判定",IF(AND($Q85=0,$O85/($P85*2)&gt;=0.75),"A：進める（トップ面談・基本合意検討へ）","B：追加情報を取得して再判定")))))</f>
        <v/>
      </c>
      <c r="T85" s="21">
        <f>IF($P85=0,"",$O85/($P85*2))</f>
        <v/>
      </c>
    </row>
    <row r="86">
      <c r="A86" s="22" t="n"/>
      <c r="B86" s="17">
        <f>IF($A86="","",IFERROR(INDEX(案件管理!$E:$E,MATCH($A86,案件管理!$A:$A,0)),""))</f>
        <v/>
      </c>
      <c r="C86" s="23" t="n"/>
      <c r="D86" s="23" t="n"/>
      <c r="E86" s="23" t="n"/>
      <c r="F86" s="23" t="n"/>
      <c r="G86" s="23" t="n"/>
      <c r="H86" s="23" t="n"/>
      <c r="I86" s="23" t="n"/>
      <c r="J86" s="23" t="n"/>
      <c r="K86" s="23" t="n"/>
      <c r="L86" s="23" t="n"/>
      <c r="M86" s="23" t="n"/>
      <c r="N86" s="23" t="n"/>
      <c r="O86" s="19">
        <f>COUNTIF($C86:$N86,"◯")*2+COUNTIF($C86:$N86,"△〜◯")*1.5+COUNTIF($C86:$N86,"△")*1+COUNTIF($C86:$N86,"×〜△")*0.5</f>
        <v/>
      </c>
      <c r="P86" s="20">
        <f>COUNTIF($C86:$N86,"◯")+COUNTIF($C86:$N86,"△〜◯")+COUNTIF($C86:$N86,"△")+COUNTIF($C86:$N86,"×〜△")+COUNTIF($C86:$N86,"×")</f>
        <v/>
      </c>
      <c r="Q86" s="20">
        <f>COUNTIF($C86:$N86,"×")</f>
        <v/>
      </c>
      <c r="R86" s="20">
        <f>COUNTIF($C86,"×")+COUNTIF($D86,"×")+COUNTIF($F86,"×")+COUNTIF($I86,"×")</f>
        <v/>
      </c>
      <c r="S86" s="20">
        <f>IF($P86=0,"未入力",IF($R86&gt;0,"C：見送り（Must項目に×）",IF($Q86&gt;=2,"C：見送り（×が2項目以上）",IF($P86&lt;6,"B：追加情報を取得して再判定",IF(AND($Q86=0,$O86/($P86*2)&gt;=0.75),"A：進める（トップ面談・基本合意検討へ）","B：追加情報を取得して再判定")))))</f>
        <v/>
      </c>
      <c r="T86" s="21">
        <f>IF($P86=0,"",$O86/($P86*2))</f>
        <v/>
      </c>
    </row>
    <row r="87">
      <c r="A87" s="22" t="n"/>
      <c r="B87" s="17">
        <f>IF($A87="","",IFERROR(INDEX(案件管理!$E:$E,MATCH($A87,案件管理!$A:$A,0)),""))</f>
        <v/>
      </c>
      <c r="C87" s="23" t="n"/>
      <c r="D87" s="23" t="n"/>
      <c r="E87" s="23" t="n"/>
      <c r="F87" s="23" t="n"/>
      <c r="G87" s="23" t="n"/>
      <c r="H87" s="23" t="n"/>
      <c r="I87" s="23" t="n"/>
      <c r="J87" s="23" t="n"/>
      <c r="K87" s="23" t="n"/>
      <c r="L87" s="23" t="n"/>
      <c r="M87" s="23" t="n"/>
      <c r="N87" s="23" t="n"/>
      <c r="O87" s="19">
        <f>COUNTIF($C87:$N87,"◯")*2+COUNTIF($C87:$N87,"△〜◯")*1.5+COUNTIF($C87:$N87,"△")*1+COUNTIF($C87:$N87,"×〜△")*0.5</f>
        <v/>
      </c>
      <c r="P87" s="20">
        <f>COUNTIF($C87:$N87,"◯")+COUNTIF($C87:$N87,"△〜◯")+COUNTIF($C87:$N87,"△")+COUNTIF($C87:$N87,"×〜△")+COUNTIF($C87:$N87,"×")</f>
        <v/>
      </c>
      <c r="Q87" s="20">
        <f>COUNTIF($C87:$N87,"×")</f>
        <v/>
      </c>
      <c r="R87" s="20">
        <f>COUNTIF($C87,"×")+COUNTIF($D87,"×")+COUNTIF($F87,"×")+COUNTIF($I87,"×")</f>
        <v/>
      </c>
      <c r="S87" s="20">
        <f>IF($P87=0,"未入力",IF($R87&gt;0,"C：見送り（Must項目に×）",IF($Q87&gt;=2,"C：見送り（×が2項目以上）",IF($P87&lt;6,"B：追加情報を取得して再判定",IF(AND($Q87=0,$O87/($P87*2)&gt;=0.75),"A：進める（トップ面談・基本合意検討へ）","B：追加情報を取得して再判定")))))</f>
        <v/>
      </c>
      <c r="T87" s="21">
        <f>IF($P87=0,"",$O87/($P87*2))</f>
        <v/>
      </c>
    </row>
    <row r="88">
      <c r="A88" s="22" t="n"/>
      <c r="B88" s="17">
        <f>IF($A88="","",IFERROR(INDEX(案件管理!$E:$E,MATCH($A88,案件管理!$A:$A,0)),""))</f>
        <v/>
      </c>
      <c r="C88" s="23" t="n"/>
      <c r="D88" s="23" t="n"/>
      <c r="E88" s="23" t="n"/>
      <c r="F88" s="23" t="n"/>
      <c r="G88" s="23" t="n"/>
      <c r="H88" s="23" t="n"/>
      <c r="I88" s="23" t="n"/>
      <c r="J88" s="23" t="n"/>
      <c r="K88" s="23" t="n"/>
      <c r="L88" s="23" t="n"/>
      <c r="M88" s="23" t="n"/>
      <c r="N88" s="23" t="n"/>
      <c r="O88" s="19">
        <f>COUNTIF($C88:$N88,"◯")*2+COUNTIF($C88:$N88,"△〜◯")*1.5+COUNTIF($C88:$N88,"△")*1+COUNTIF($C88:$N88,"×〜△")*0.5</f>
        <v/>
      </c>
      <c r="P88" s="20">
        <f>COUNTIF($C88:$N88,"◯")+COUNTIF($C88:$N88,"△〜◯")+COUNTIF($C88:$N88,"△")+COUNTIF($C88:$N88,"×〜△")+COUNTIF($C88:$N88,"×")</f>
        <v/>
      </c>
      <c r="Q88" s="20">
        <f>COUNTIF($C88:$N88,"×")</f>
        <v/>
      </c>
      <c r="R88" s="20">
        <f>COUNTIF($C88,"×")+COUNTIF($D88,"×")+COUNTIF($F88,"×")+COUNTIF($I88,"×")</f>
        <v/>
      </c>
      <c r="S88" s="20">
        <f>IF($P88=0,"未入力",IF($R88&gt;0,"C：見送り（Must項目に×）",IF($Q88&gt;=2,"C：見送り（×が2項目以上）",IF($P88&lt;6,"B：追加情報を取得して再判定",IF(AND($Q88=0,$O88/($P88*2)&gt;=0.75),"A：進める（トップ面談・基本合意検討へ）","B：追加情報を取得して再判定")))))</f>
        <v/>
      </c>
      <c r="T88" s="21">
        <f>IF($P88=0,"",$O88/($P88*2))</f>
        <v/>
      </c>
    </row>
    <row r="89">
      <c r="A89" s="22" t="n"/>
      <c r="B89" s="17">
        <f>IF($A89="","",IFERROR(INDEX(案件管理!$E:$E,MATCH($A89,案件管理!$A:$A,0)),""))</f>
        <v/>
      </c>
      <c r="C89" s="23" t="n"/>
      <c r="D89" s="23" t="n"/>
      <c r="E89" s="23" t="n"/>
      <c r="F89" s="23" t="n"/>
      <c r="G89" s="23" t="n"/>
      <c r="H89" s="23" t="n"/>
      <c r="I89" s="23" t="n"/>
      <c r="J89" s="23" t="n"/>
      <c r="K89" s="23" t="n"/>
      <c r="L89" s="23" t="n"/>
      <c r="M89" s="23" t="n"/>
      <c r="N89" s="23" t="n"/>
      <c r="O89" s="19">
        <f>COUNTIF($C89:$N89,"◯")*2+COUNTIF($C89:$N89,"△〜◯")*1.5+COUNTIF($C89:$N89,"△")*1+COUNTIF($C89:$N89,"×〜△")*0.5</f>
        <v/>
      </c>
      <c r="P89" s="20">
        <f>COUNTIF($C89:$N89,"◯")+COUNTIF($C89:$N89,"△〜◯")+COUNTIF($C89:$N89,"△")+COUNTIF($C89:$N89,"×〜△")+COUNTIF($C89:$N89,"×")</f>
        <v/>
      </c>
      <c r="Q89" s="20">
        <f>COUNTIF($C89:$N89,"×")</f>
        <v/>
      </c>
      <c r="R89" s="20">
        <f>COUNTIF($C89,"×")+COUNTIF($D89,"×")+COUNTIF($F89,"×")+COUNTIF($I89,"×")</f>
        <v/>
      </c>
      <c r="S89" s="20">
        <f>IF($P89=0,"未入力",IF($R89&gt;0,"C：見送り（Must項目に×）",IF($Q89&gt;=2,"C：見送り（×が2項目以上）",IF($P89&lt;6,"B：追加情報を取得して再判定",IF(AND($Q89=0,$O89/($P89*2)&gt;=0.75),"A：進める（トップ面談・基本合意検討へ）","B：追加情報を取得して再判定")))))</f>
        <v/>
      </c>
      <c r="T89" s="21">
        <f>IF($P89=0,"",$O89/($P89*2))</f>
        <v/>
      </c>
    </row>
    <row r="90">
      <c r="A90" s="22" t="n"/>
      <c r="B90" s="17">
        <f>IF($A90="","",IFERROR(INDEX(案件管理!$E:$E,MATCH($A90,案件管理!$A:$A,0)),""))</f>
        <v/>
      </c>
      <c r="C90" s="23" t="n"/>
      <c r="D90" s="23" t="n"/>
      <c r="E90" s="23" t="n"/>
      <c r="F90" s="23" t="n"/>
      <c r="G90" s="23" t="n"/>
      <c r="H90" s="23" t="n"/>
      <c r="I90" s="23" t="n"/>
      <c r="J90" s="23" t="n"/>
      <c r="K90" s="23" t="n"/>
      <c r="L90" s="23" t="n"/>
      <c r="M90" s="23" t="n"/>
      <c r="N90" s="23" t="n"/>
      <c r="O90" s="19">
        <f>COUNTIF($C90:$N90,"◯")*2+COUNTIF($C90:$N90,"△〜◯")*1.5+COUNTIF($C90:$N90,"△")*1+COUNTIF($C90:$N90,"×〜△")*0.5</f>
        <v/>
      </c>
      <c r="P90" s="20">
        <f>COUNTIF($C90:$N90,"◯")+COUNTIF($C90:$N90,"△〜◯")+COUNTIF($C90:$N90,"△")+COUNTIF($C90:$N90,"×〜△")+COUNTIF($C90:$N90,"×")</f>
        <v/>
      </c>
      <c r="Q90" s="20">
        <f>COUNTIF($C90:$N90,"×")</f>
        <v/>
      </c>
      <c r="R90" s="20">
        <f>COUNTIF($C90,"×")+COUNTIF($D90,"×")+COUNTIF($F90,"×")+COUNTIF($I90,"×")</f>
        <v/>
      </c>
      <c r="S90" s="20">
        <f>IF($P90=0,"未入力",IF($R90&gt;0,"C：見送り（Must項目に×）",IF($Q90&gt;=2,"C：見送り（×が2項目以上）",IF($P90&lt;6,"B：追加情報を取得して再判定",IF(AND($Q90=0,$O90/($P90*2)&gt;=0.75),"A：進める（トップ面談・基本合意検討へ）","B：追加情報を取得して再判定")))))</f>
        <v/>
      </c>
      <c r="T90" s="21">
        <f>IF($P90=0,"",$O90/($P90*2))</f>
        <v/>
      </c>
    </row>
    <row r="91">
      <c r="A91" s="22" t="n"/>
      <c r="B91" s="17">
        <f>IF($A91="","",IFERROR(INDEX(案件管理!$E:$E,MATCH($A91,案件管理!$A:$A,0)),""))</f>
        <v/>
      </c>
      <c r="C91" s="23" t="n"/>
      <c r="D91" s="23" t="n"/>
      <c r="E91" s="23" t="n"/>
      <c r="F91" s="23" t="n"/>
      <c r="G91" s="23" t="n"/>
      <c r="H91" s="23" t="n"/>
      <c r="I91" s="23" t="n"/>
      <c r="J91" s="23" t="n"/>
      <c r="K91" s="23" t="n"/>
      <c r="L91" s="23" t="n"/>
      <c r="M91" s="23" t="n"/>
      <c r="N91" s="23" t="n"/>
      <c r="O91" s="19">
        <f>COUNTIF($C91:$N91,"◯")*2+COUNTIF($C91:$N91,"△〜◯")*1.5+COUNTIF($C91:$N91,"△")*1+COUNTIF($C91:$N91,"×〜△")*0.5</f>
        <v/>
      </c>
      <c r="P91" s="20">
        <f>COUNTIF($C91:$N91,"◯")+COUNTIF($C91:$N91,"△〜◯")+COUNTIF($C91:$N91,"△")+COUNTIF($C91:$N91,"×〜△")+COUNTIF($C91:$N91,"×")</f>
        <v/>
      </c>
      <c r="Q91" s="20">
        <f>COUNTIF($C91:$N91,"×")</f>
        <v/>
      </c>
      <c r="R91" s="20">
        <f>COUNTIF($C91,"×")+COUNTIF($D91,"×")+COUNTIF($F91,"×")+COUNTIF($I91,"×")</f>
        <v/>
      </c>
      <c r="S91" s="20">
        <f>IF($P91=0,"未入力",IF($R91&gt;0,"C：見送り（Must項目に×）",IF($Q91&gt;=2,"C：見送り（×が2項目以上）",IF($P91&lt;6,"B：追加情報を取得して再判定",IF(AND($Q91=0,$O91/($P91*2)&gt;=0.75),"A：進める（トップ面談・基本合意検討へ）","B：追加情報を取得して再判定")))))</f>
        <v/>
      </c>
      <c r="T91" s="21">
        <f>IF($P91=0,"",$O91/($P91*2))</f>
        <v/>
      </c>
    </row>
    <row r="92">
      <c r="A92" s="22" t="n"/>
      <c r="B92" s="17">
        <f>IF($A92="","",IFERROR(INDEX(案件管理!$E:$E,MATCH($A92,案件管理!$A:$A,0)),""))</f>
        <v/>
      </c>
      <c r="C92" s="23" t="n"/>
      <c r="D92" s="23" t="n"/>
      <c r="E92" s="23" t="n"/>
      <c r="F92" s="23" t="n"/>
      <c r="G92" s="23" t="n"/>
      <c r="H92" s="23" t="n"/>
      <c r="I92" s="23" t="n"/>
      <c r="J92" s="23" t="n"/>
      <c r="K92" s="23" t="n"/>
      <c r="L92" s="23" t="n"/>
      <c r="M92" s="23" t="n"/>
      <c r="N92" s="23" t="n"/>
      <c r="O92" s="19">
        <f>COUNTIF($C92:$N92,"◯")*2+COUNTIF($C92:$N92,"△〜◯")*1.5+COUNTIF($C92:$N92,"△")*1+COUNTIF($C92:$N92,"×〜△")*0.5</f>
        <v/>
      </c>
      <c r="P92" s="20">
        <f>COUNTIF($C92:$N92,"◯")+COUNTIF($C92:$N92,"△〜◯")+COUNTIF($C92:$N92,"△")+COUNTIF($C92:$N92,"×〜△")+COUNTIF($C92:$N92,"×")</f>
        <v/>
      </c>
      <c r="Q92" s="20">
        <f>COUNTIF($C92:$N92,"×")</f>
        <v/>
      </c>
      <c r="R92" s="20">
        <f>COUNTIF($C92,"×")+COUNTIF($D92,"×")+COUNTIF($F92,"×")+COUNTIF($I92,"×")</f>
        <v/>
      </c>
      <c r="S92" s="20">
        <f>IF($P92=0,"未入力",IF($R92&gt;0,"C：見送り（Must項目に×）",IF($Q92&gt;=2,"C：見送り（×が2項目以上）",IF($P92&lt;6,"B：追加情報を取得して再判定",IF(AND($Q92=0,$O92/($P92*2)&gt;=0.75),"A：進める（トップ面談・基本合意検討へ）","B：追加情報を取得して再判定")))))</f>
        <v/>
      </c>
      <c r="T92" s="21">
        <f>IF($P92=0,"",$O92/($P92*2))</f>
        <v/>
      </c>
    </row>
    <row r="93">
      <c r="A93" s="22" t="n"/>
      <c r="B93" s="17">
        <f>IF($A93="","",IFERROR(INDEX(案件管理!$E:$E,MATCH($A93,案件管理!$A:$A,0)),""))</f>
        <v/>
      </c>
      <c r="C93" s="23" t="n"/>
      <c r="D93" s="23" t="n"/>
      <c r="E93" s="23" t="n"/>
      <c r="F93" s="23" t="n"/>
      <c r="G93" s="23" t="n"/>
      <c r="H93" s="23" t="n"/>
      <c r="I93" s="23" t="n"/>
      <c r="J93" s="23" t="n"/>
      <c r="K93" s="23" t="n"/>
      <c r="L93" s="23" t="n"/>
      <c r="M93" s="23" t="n"/>
      <c r="N93" s="23" t="n"/>
      <c r="O93" s="19">
        <f>COUNTIF($C93:$N93,"◯")*2+COUNTIF($C93:$N93,"△〜◯")*1.5+COUNTIF($C93:$N93,"△")*1+COUNTIF($C93:$N93,"×〜△")*0.5</f>
        <v/>
      </c>
      <c r="P93" s="20">
        <f>COUNTIF($C93:$N93,"◯")+COUNTIF($C93:$N93,"△〜◯")+COUNTIF($C93:$N93,"△")+COUNTIF($C93:$N93,"×〜△")+COUNTIF($C93:$N93,"×")</f>
        <v/>
      </c>
      <c r="Q93" s="20">
        <f>COUNTIF($C93:$N93,"×")</f>
        <v/>
      </c>
      <c r="R93" s="20">
        <f>COUNTIF($C93,"×")+COUNTIF($D93,"×")+COUNTIF($F93,"×")+COUNTIF($I93,"×")</f>
        <v/>
      </c>
      <c r="S93" s="20">
        <f>IF($P93=0,"未入力",IF($R93&gt;0,"C：見送り（Must項目に×）",IF($Q93&gt;=2,"C：見送り（×が2項目以上）",IF($P93&lt;6,"B：追加情報を取得して再判定",IF(AND($Q93=0,$O93/($P93*2)&gt;=0.75),"A：進める（トップ面談・基本合意検討へ）","B：追加情報を取得して再判定")))))</f>
        <v/>
      </c>
      <c r="T93" s="21">
        <f>IF($P93=0,"",$O93/($P93*2))</f>
        <v/>
      </c>
    </row>
    <row r="94">
      <c r="A94" s="22" t="n"/>
      <c r="B94" s="17">
        <f>IF($A94="","",IFERROR(INDEX(案件管理!$E:$E,MATCH($A94,案件管理!$A:$A,0)),""))</f>
        <v/>
      </c>
      <c r="C94" s="23" t="n"/>
      <c r="D94" s="23" t="n"/>
      <c r="E94" s="23" t="n"/>
      <c r="F94" s="23" t="n"/>
      <c r="G94" s="23" t="n"/>
      <c r="H94" s="23" t="n"/>
      <c r="I94" s="23" t="n"/>
      <c r="J94" s="23" t="n"/>
      <c r="K94" s="23" t="n"/>
      <c r="L94" s="23" t="n"/>
      <c r="M94" s="23" t="n"/>
      <c r="N94" s="23" t="n"/>
      <c r="O94" s="19">
        <f>COUNTIF($C94:$N94,"◯")*2+COUNTIF($C94:$N94,"△〜◯")*1.5+COUNTIF($C94:$N94,"△")*1+COUNTIF($C94:$N94,"×〜△")*0.5</f>
        <v/>
      </c>
      <c r="P94" s="20">
        <f>COUNTIF($C94:$N94,"◯")+COUNTIF($C94:$N94,"△〜◯")+COUNTIF($C94:$N94,"△")+COUNTIF($C94:$N94,"×〜△")+COUNTIF($C94:$N94,"×")</f>
        <v/>
      </c>
      <c r="Q94" s="20">
        <f>COUNTIF($C94:$N94,"×")</f>
        <v/>
      </c>
      <c r="R94" s="20">
        <f>COUNTIF($C94,"×")+COUNTIF($D94,"×")+COUNTIF($F94,"×")+COUNTIF($I94,"×")</f>
        <v/>
      </c>
      <c r="S94" s="20">
        <f>IF($P94=0,"未入力",IF($R94&gt;0,"C：見送り（Must項目に×）",IF($Q94&gt;=2,"C：見送り（×が2項目以上）",IF($P94&lt;6,"B：追加情報を取得して再判定",IF(AND($Q94=0,$O94/($P94*2)&gt;=0.75),"A：進める（トップ面談・基本合意検討へ）","B：追加情報を取得して再判定")))))</f>
        <v/>
      </c>
      <c r="T94" s="21">
        <f>IF($P94=0,"",$O94/($P94*2))</f>
        <v/>
      </c>
    </row>
    <row r="95">
      <c r="A95" s="22" t="n"/>
      <c r="B95" s="17">
        <f>IF($A95="","",IFERROR(INDEX(案件管理!$E:$E,MATCH($A95,案件管理!$A:$A,0)),""))</f>
        <v/>
      </c>
      <c r="C95" s="23" t="n"/>
      <c r="D95" s="23" t="n"/>
      <c r="E95" s="23" t="n"/>
      <c r="F95" s="23" t="n"/>
      <c r="G95" s="23" t="n"/>
      <c r="H95" s="23" t="n"/>
      <c r="I95" s="23" t="n"/>
      <c r="J95" s="23" t="n"/>
      <c r="K95" s="23" t="n"/>
      <c r="L95" s="23" t="n"/>
      <c r="M95" s="23" t="n"/>
      <c r="N95" s="23" t="n"/>
      <c r="O95" s="19">
        <f>COUNTIF($C95:$N95,"◯")*2+COUNTIF($C95:$N95,"△〜◯")*1.5+COUNTIF($C95:$N95,"△")*1+COUNTIF($C95:$N95,"×〜△")*0.5</f>
        <v/>
      </c>
      <c r="P95" s="20">
        <f>COUNTIF($C95:$N95,"◯")+COUNTIF($C95:$N95,"△〜◯")+COUNTIF($C95:$N95,"△")+COUNTIF($C95:$N95,"×〜△")+COUNTIF($C95:$N95,"×")</f>
        <v/>
      </c>
      <c r="Q95" s="20">
        <f>COUNTIF($C95:$N95,"×")</f>
        <v/>
      </c>
      <c r="R95" s="20">
        <f>COUNTIF($C95,"×")+COUNTIF($D95,"×")+COUNTIF($F95,"×")+COUNTIF($I95,"×")</f>
        <v/>
      </c>
      <c r="S95" s="20">
        <f>IF($P95=0,"未入力",IF($R95&gt;0,"C：見送り（Must項目に×）",IF($Q95&gt;=2,"C：見送り（×が2項目以上）",IF($P95&lt;6,"B：追加情報を取得して再判定",IF(AND($Q95=0,$O95/($P95*2)&gt;=0.75),"A：進める（トップ面談・基本合意検討へ）","B：追加情報を取得して再判定")))))</f>
        <v/>
      </c>
      <c r="T95" s="21">
        <f>IF($P95=0,"",$O95/($P95*2))</f>
        <v/>
      </c>
    </row>
    <row r="96">
      <c r="A96" s="22" t="n"/>
      <c r="B96" s="17">
        <f>IF($A96="","",IFERROR(INDEX(案件管理!$E:$E,MATCH($A96,案件管理!$A:$A,0)),""))</f>
        <v/>
      </c>
      <c r="C96" s="23" t="n"/>
      <c r="D96" s="23" t="n"/>
      <c r="E96" s="23" t="n"/>
      <c r="F96" s="23" t="n"/>
      <c r="G96" s="23" t="n"/>
      <c r="H96" s="23" t="n"/>
      <c r="I96" s="23" t="n"/>
      <c r="J96" s="23" t="n"/>
      <c r="K96" s="23" t="n"/>
      <c r="L96" s="23" t="n"/>
      <c r="M96" s="23" t="n"/>
      <c r="N96" s="23" t="n"/>
      <c r="O96" s="19">
        <f>COUNTIF($C96:$N96,"◯")*2+COUNTIF($C96:$N96,"△〜◯")*1.5+COUNTIF($C96:$N96,"△")*1+COUNTIF($C96:$N96,"×〜△")*0.5</f>
        <v/>
      </c>
      <c r="P96" s="20">
        <f>COUNTIF($C96:$N96,"◯")+COUNTIF($C96:$N96,"△〜◯")+COUNTIF($C96:$N96,"△")+COUNTIF($C96:$N96,"×〜△")+COUNTIF($C96:$N96,"×")</f>
        <v/>
      </c>
      <c r="Q96" s="20">
        <f>COUNTIF($C96:$N96,"×")</f>
        <v/>
      </c>
      <c r="R96" s="20">
        <f>COUNTIF($C96,"×")+COUNTIF($D96,"×")+COUNTIF($F96,"×")+COUNTIF($I96,"×")</f>
        <v/>
      </c>
      <c r="S96" s="20">
        <f>IF($P96=0,"未入力",IF($R96&gt;0,"C：見送り（Must項目に×）",IF($Q96&gt;=2,"C：見送り（×が2項目以上）",IF($P96&lt;6,"B：追加情報を取得して再判定",IF(AND($Q96=0,$O96/($P96*2)&gt;=0.75),"A：進める（トップ面談・基本合意検討へ）","B：追加情報を取得して再判定")))))</f>
        <v/>
      </c>
      <c r="T96" s="21">
        <f>IF($P96=0,"",$O96/($P96*2))</f>
        <v/>
      </c>
    </row>
    <row r="97">
      <c r="A97" s="22" t="n"/>
      <c r="B97" s="17">
        <f>IF($A97="","",IFERROR(INDEX(案件管理!$E:$E,MATCH($A97,案件管理!$A:$A,0)),""))</f>
        <v/>
      </c>
      <c r="C97" s="23" t="n"/>
      <c r="D97" s="23" t="n"/>
      <c r="E97" s="23" t="n"/>
      <c r="F97" s="23" t="n"/>
      <c r="G97" s="23" t="n"/>
      <c r="H97" s="23" t="n"/>
      <c r="I97" s="23" t="n"/>
      <c r="J97" s="23" t="n"/>
      <c r="K97" s="23" t="n"/>
      <c r="L97" s="23" t="n"/>
      <c r="M97" s="23" t="n"/>
      <c r="N97" s="23" t="n"/>
      <c r="O97" s="19">
        <f>COUNTIF($C97:$N97,"◯")*2+COUNTIF($C97:$N97,"△〜◯")*1.5+COUNTIF($C97:$N97,"△")*1+COUNTIF($C97:$N97,"×〜△")*0.5</f>
        <v/>
      </c>
      <c r="P97" s="20">
        <f>COUNTIF($C97:$N97,"◯")+COUNTIF($C97:$N97,"△〜◯")+COUNTIF($C97:$N97,"△")+COUNTIF($C97:$N97,"×〜△")+COUNTIF($C97:$N97,"×")</f>
        <v/>
      </c>
      <c r="Q97" s="20">
        <f>COUNTIF($C97:$N97,"×")</f>
        <v/>
      </c>
      <c r="R97" s="20">
        <f>COUNTIF($C97,"×")+COUNTIF($D97,"×")+COUNTIF($F97,"×")+COUNTIF($I97,"×")</f>
        <v/>
      </c>
      <c r="S97" s="20">
        <f>IF($P97=0,"未入力",IF($R97&gt;0,"C：見送り（Must項目に×）",IF($Q97&gt;=2,"C：見送り（×が2項目以上）",IF($P97&lt;6,"B：追加情報を取得して再判定",IF(AND($Q97=0,$O97/($P97*2)&gt;=0.75),"A：進める（トップ面談・基本合意検討へ）","B：追加情報を取得して再判定")))))</f>
        <v/>
      </c>
      <c r="T97" s="21">
        <f>IF($P97=0,"",$O97/($P97*2))</f>
        <v/>
      </c>
    </row>
    <row r="98">
      <c r="A98" s="22" t="n"/>
      <c r="B98" s="17">
        <f>IF($A98="","",IFERROR(INDEX(案件管理!$E:$E,MATCH($A98,案件管理!$A:$A,0)),""))</f>
        <v/>
      </c>
      <c r="C98" s="23" t="n"/>
      <c r="D98" s="23" t="n"/>
      <c r="E98" s="23" t="n"/>
      <c r="F98" s="23" t="n"/>
      <c r="G98" s="23" t="n"/>
      <c r="H98" s="23" t="n"/>
      <c r="I98" s="23" t="n"/>
      <c r="J98" s="23" t="n"/>
      <c r="K98" s="23" t="n"/>
      <c r="L98" s="23" t="n"/>
      <c r="M98" s="23" t="n"/>
      <c r="N98" s="23" t="n"/>
      <c r="O98" s="19">
        <f>COUNTIF($C98:$N98,"◯")*2+COUNTIF($C98:$N98,"△〜◯")*1.5+COUNTIF($C98:$N98,"△")*1+COUNTIF($C98:$N98,"×〜△")*0.5</f>
        <v/>
      </c>
      <c r="P98" s="20">
        <f>COUNTIF($C98:$N98,"◯")+COUNTIF($C98:$N98,"△〜◯")+COUNTIF($C98:$N98,"△")+COUNTIF($C98:$N98,"×〜△")+COUNTIF($C98:$N98,"×")</f>
        <v/>
      </c>
      <c r="Q98" s="20">
        <f>COUNTIF($C98:$N98,"×")</f>
        <v/>
      </c>
      <c r="R98" s="20">
        <f>COUNTIF($C98,"×")+COUNTIF($D98,"×")+COUNTIF($F98,"×")+COUNTIF($I98,"×")</f>
        <v/>
      </c>
      <c r="S98" s="20">
        <f>IF($P98=0,"未入力",IF($R98&gt;0,"C：見送り（Must項目に×）",IF($Q98&gt;=2,"C：見送り（×が2項目以上）",IF($P98&lt;6,"B：追加情報を取得して再判定",IF(AND($Q98=0,$O98/($P98*2)&gt;=0.75),"A：進める（トップ面談・基本合意検討へ）","B：追加情報を取得して再判定")))))</f>
        <v/>
      </c>
      <c r="T98" s="21">
        <f>IF($P98=0,"",$O98/($P98*2))</f>
        <v/>
      </c>
    </row>
    <row r="99">
      <c r="A99" s="22" t="n"/>
      <c r="B99" s="17">
        <f>IF($A99="","",IFERROR(INDEX(案件管理!$E:$E,MATCH($A99,案件管理!$A:$A,0)),""))</f>
        <v/>
      </c>
      <c r="C99" s="23" t="n"/>
      <c r="D99" s="23" t="n"/>
      <c r="E99" s="23" t="n"/>
      <c r="F99" s="23" t="n"/>
      <c r="G99" s="23" t="n"/>
      <c r="H99" s="23" t="n"/>
      <c r="I99" s="23" t="n"/>
      <c r="J99" s="23" t="n"/>
      <c r="K99" s="23" t="n"/>
      <c r="L99" s="23" t="n"/>
      <c r="M99" s="23" t="n"/>
      <c r="N99" s="23" t="n"/>
      <c r="O99" s="19">
        <f>COUNTIF($C99:$N99,"◯")*2+COUNTIF($C99:$N99,"△〜◯")*1.5+COUNTIF($C99:$N99,"△")*1+COUNTIF($C99:$N99,"×〜△")*0.5</f>
        <v/>
      </c>
      <c r="P99" s="20">
        <f>COUNTIF($C99:$N99,"◯")+COUNTIF($C99:$N99,"△〜◯")+COUNTIF($C99:$N99,"△")+COUNTIF($C99:$N99,"×〜△")+COUNTIF($C99:$N99,"×")</f>
        <v/>
      </c>
      <c r="Q99" s="20">
        <f>COUNTIF($C99:$N99,"×")</f>
        <v/>
      </c>
      <c r="R99" s="20">
        <f>COUNTIF($C99,"×")+COUNTIF($D99,"×")+COUNTIF($F99,"×")+COUNTIF($I99,"×")</f>
        <v/>
      </c>
      <c r="S99" s="20">
        <f>IF($P99=0,"未入力",IF($R99&gt;0,"C：見送り（Must項目に×）",IF($Q99&gt;=2,"C：見送り（×が2項目以上）",IF($P99&lt;6,"B：追加情報を取得して再判定",IF(AND($Q99=0,$O99/($P99*2)&gt;=0.75),"A：進める（トップ面談・基本合意検討へ）","B：追加情報を取得して再判定")))))</f>
        <v/>
      </c>
      <c r="T99" s="21">
        <f>IF($P99=0,"",$O99/($P99*2))</f>
        <v/>
      </c>
    </row>
    <row r="100">
      <c r="A100" s="22" t="n"/>
      <c r="B100" s="17">
        <f>IF($A100="","",IFERROR(INDEX(案件管理!$E:$E,MATCH($A100,案件管理!$A:$A,0)),""))</f>
        <v/>
      </c>
      <c r="C100" s="23" t="n"/>
      <c r="D100" s="23" t="n"/>
      <c r="E100" s="23" t="n"/>
      <c r="F100" s="23" t="n"/>
      <c r="G100" s="23" t="n"/>
      <c r="H100" s="23" t="n"/>
      <c r="I100" s="23" t="n"/>
      <c r="J100" s="23" t="n"/>
      <c r="K100" s="23" t="n"/>
      <c r="L100" s="23" t="n"/>
      <c r="M100" s="23" t="n"/>
      <c r="N100" s="23" t="n"/>
      <c r="O100" s="19">
        <f>COUNTIF($C100:$N100,"◯")*2+COUNTIF($C100:$N100,"△〜◯")*1.5+COUNTIF($C100:$N100,"△")*1+COUNTIF($C100:$N100,"×〜△")*0.5</f>
        <v/>
      </c>
      <c r="P100" s="20">
        <f>COUNTIF($C100:$N100,"◯")+COUNTIF($C100:$N100,"△〜◯")+COUNTIF($C100:$N100,"△")+COUNTIF($C100:$N100,"×〜△")+COUNTIF($C100:$N100,"×")</f>
        <v/>
      </c>
      <c r="Q100" s="20">
        <f>COUNTIF($C100:$N100,"×")</f>
        <v/>
      </c>
      <c r="R100" s="20">
        <f>COUNTIF($C100,"×")+COUNTIF($D100,"×")+COUNTIF($F100,"×")+COUNTIF($I100,"×")</f>
        <v/>
      </c>
      <c r="S100" s="20">
        <f>IF($P100=0,"未入力",IF($R100&gt;0,"C：見送り（Must項目に×）",IF($Q100&gt;=2,"C：見送り（×が2項目以上）",IF($P100&lt;6,"B：追加情報を取得して再判定",IF(AND($Q100=0,$O100/($P100*2)&gt;=0.75),"A：進める（トップ面談・基本合意検討へ）","B：追加情報を取得して再判定")))))</f>
        <v/>
      </c>
      <c r="T100" s="21">
        <f>IF($P100=0,"",$O100/($P100*2))</f>
        <v/>
      </c>
    </row>
    <row r="101">
      <c r="A101" s="22" t="n"/>
      <c r="B101" s="17">
        <f>IF($A101="","",IFERROR(INDEX(案件管理!$E:$E,MATCH($A101,案件管理!$A:$A,0)),""))</f>
        <v/>
      </c>
      <c r="C101" s="23" t="n"/>
      <c r="D101" s="23" t="n"/>
      <c r="E101" s="23" t="n"/>
      <c r="F101" s="23" t="n"/>
      <c r="G101" s="23" t="n"/>
      <c r="H101" s="23" t="n"/>
      <c r="I101" s="23" t="n"/>
      <c r="J101" s="23" t="n"/>
      <c r="K101" s="23" t="n"/>
      <c r="L101" s="23" t="n"/>
      <c r="M101" s="23" t="n"/>
      <c r="N101" s="23" t="n"/>
      <c r="O101" s="19">
        <f>COUNTIF($C101:$N101,"◯")*2+COUNTIF($C101:$N101,"△〜◯")*1.5+COUNTIF($C101:$N101,"△")*1+COUNTIF($C101:$N101,"×〜△")*0.5</f>
        <v/>
      </c>
      <c r="P101" s="20">
        <f>COUNTIF($C101:$N101,"◯")+COUNTIF($C101:$N101,"△〜◯")+COUNTIF($C101:$N101,"△")+COUNTIF($C101:$N101,"×〜△")+COUNTIF($C101:$N101,"×")</f>
        <v/>
      </c>
      <c r="Q101" s="20">
        <f>COUNTIF($C101:$N101,"×")</f>
        <v/>
      </c>
      <c r="R101" s="20">
        <f>COUNTIF($C101,"×")+COUNTIF($D101,"×")+COUNTIF($F101,"×")+COUNTIF($I101,"×")</f>
        <v/>
      </c>
      <c r="S101" s="20">
        <f>IF($P101=0,"未入力",IF($R101&gt;0,"C：見送り（Must項目に×）",IF($Q101&gt;=2,"C：見送り（×が2項目以上）",IF($P101&lt;6,"B：追加情報を取得して再判定",IF(AND($Q101=0,$O101/($P101*2)&gt;=0.75),"A：進める（トップ面談・基本合意検討へ）","B：追加情報を取得して再判定")))))</f>
        <v/>
      </c>
      <c r="T101" s="21">
        <f>IF($P101=0,"",$O101/($P101*2))</f>
        <v/>
      </c>
    </row>
    <row r="102">
      <c r="A102" s="22" t="n"/>
      <c r="B102" s="17">
        <f>IF($A102="","",IFERROR(INDEX(案件管理!$E:$E,MATCH($A102,案件管理!$A:$A,0)),""))</f>
        <v/>
      </c>
      <c r="C102" s="23" t="n"/>
      <c r="D102" s="23" t="n"/>
      <c r="E102" s="23" t="n"/>
      <c r="F102" s="23" t="n"/>
      <c r="G102" s="23" t="n"/>
      <c r="H102" s="23" t="n"/>
      <c r="I102" s="23" t="n"/>
      <c r="J102" s="23" t="n"/>
      <c r="K102" s="23" t="n"/>
      <c r="L102" s="23" t="n"/>
      <c r="M102" s="23" t="n"/>
      <c r="N102" s="23" t="n"/>
      <c r="O102" s="19">
        <f>COUNTIF($C102:$N102,"◯")*2+COUNTIF($C102:$N102,"△〜◯")*1.5+COUNTIF($C102:$N102,"△")*1+COUNTIF($C102:$N102,"×〜△")*0.5</f>
        <v/>
      </c>
      <c r="P102" s="20">
        <f>COUNTIF($C102:$N102,"◯")+COUNTIF($C102:$N102,"△〜◯")+COUNTIF($C102:$N102,"△")+COUNTIF($C102:$N102,"×〜△")+COUNTIF($C102:$N102,"×")</f>
        <v/>
      </c>
      <c r="Q102" s="20">
        <f>COUNTIF($C102:$N102,"×")</f>
        <v/>
      </c>
      <c r="R102" s="20">
        <f>COUNTIF($C102,"×")+COUNTIF($D102,"×")+COUNTIF($F102,"×")+COUNTIF($I102,"×")</f>
        <v/>
      </c>
      <c r="S102" s="20">
        <f>IF($P102=0,"未入力",IF($R102&gt;0,"C：見送り（Must項目に×）",IF($Q102&gt;=2,"C：見送り（×が2項目以上）",IF($P102&lt;6,"B：追加情報を取得して再判定",IF(AND($Q102=0,$O102/($P102*2)&gt;=0.75),"A：進める（トップ面談・基本合意検討へ）","B：追加情報を取得して再判定")))))</f>
        <v/>
      </c>
      <c r="T102" s="21">
        <f>IF($P102=0,"",$O102/($P102*2))</f>
        <v/>
      </c>
    </row>
    <row r="103">
      <c r="A103" s="22" t="n"/>
      <c r="B103" s="17">
        <f>IF($A103="","",IFERROR(INDEX(案件管理!$E:$E,MATCH($A103,案件管理!$A:$A,0)),""))</f>
        <v/>
      </c>
      <c r="C103" s="23" t="n"/>
      <c r="D103" s="23" t="n"/>
      <c r="E103" s="23" t="n"/>
      <c r="F103" s="23" t="n"/>
      <c r="G103" s="23" t="n"/>
      <c r="H103" s="23" t="n"/>
      <c r="I103" s="23" t="n"/>
      <c r="J103" s="23" t="n"/>
      <c r="K103" s="23" t="n"/>
      <c r="L103" s="23" t="n"/>
      <c r="M103" s="23" t="n"/>
      <c r="N103" s="23" t="n"/>
      <c r="O103" s="19">
        <f>COUNTIF($C103:$N103,"◯")*2+COUNTIF($C103:$N103,"△〜◯")*1.5+COUNTIF($C103:$N103,"△")*1+COUNTIF($C103:$N103,"×〜△")*0.5</f>
        <v/>
      </c>
      <c r="P103" s="20">
        <f>COUNTIF($C103:$N103,"◯")+COUNTIF($C103:$N103,"△〜◯")+COUNTIF($C103:$N103,"△")+COUNTIF($C103:$N103,"×〜△")+COUNTIF($C103:$N103,"×")</f>
        <v/>
      </c>
      <c r="Q103" s="20">
        <f>COUNTIF($C103:$N103,"×")</f>
        <v/>
      </c>
      <c r="R103" s="20">
        <f>COUNTIF($C103,"×")+COUNTIF($D103,"×")+COUNTIF($F103,"×")+COUNTIF($I103,"×")</f>
        <v/>
      </c>
      <c r="S103" s="20">
        <f>IF($P103=0,"未入力",IF($R103&gt;0,"C：見送り（Must項目に×）",IF($Q103&gt;=2,"C：見送り（×が2項目以上）",IF($P103&lt;6,"B：追加情報を取得して再判定",IF(AND($Q103=0,$O103/($P103*2)&gt;=0.75),"A：進める（トップ面談・基本合意検討へ）","B：追加情報を取得して再判定")))))</f>
        <v/>
      </c>
      <c r="T103" s="21">
        <f>IF($P103=0,"",$O103/($P103*2))</f>
        <v/>
      </c>
    </row>
  </sheetData>
  <conditionalFormatting sqref="C4:N103">
    <cfRule type="expression" priority="1" dxfId="0" stopIfTrue="0">
      <formula>EXACT(C4,"◯")</formula>
    </cfRule>
    <cfRule type="expression" priority="2" dxfId="3" stopIfTrue="0">
      <formula>EXACT(C4,"△〜◯")</formula>
    </cfRule>
    <cfRule type="expression" priority="3" dxfId="1" stopIfTrue="0">
      <formula>EXACT(C4,"△")</formula>
    </cfRule>
    <cfRule type="expression" priority="4" dxfId="4" stopIfTrue="0">
      <formula>EXACT(C4,"×〜△")</formula>
    </cfRule>
    <cfRule type="expression" priority="5" dxfId="2" stopIfTrue="0">
      <formula>EXACT(C4,"×")</formula>
    </cfRule>
    <cfRule type="expression" priority="6" dxfId="5" stopIfTrue="0">
      <formula>EXACT(C4,"－")</formula>
    </cfRule>
  </conditionalFormatting>
  <dataValidations count="1">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showDropDown="0" showInputMessage="0" showErrorMessage="1" allowBlank="1" errorTitle="評価の入力" error="◯／△〜◯／△／×〜△／×／－ から選んでください"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34" customWidth="1" min="5" max="5"/>
    <col width="7" customWidth="1" min="6" max="6"/>
  </cols>
  <sheetData>
    <row r="1">
      <c r="A1" s="1" t="inlineStr">
        <is>
          <t>判定基準（青塗り12項目のルーブリック抜粋）</t>
        </is>
      </c>
    </row>
    <row r="2">
      <c r="A2" s="2" t="inlineStr">
        <is>
          <t>正本は .claude/skills/deal-screening/references/rubric.md。ここは参照用の写しなので、閾値を変えるときは rubric.md と両方直すこと。</t>
        </is>
      </c>
    </row>
    <row r="4">
      <c r="A4" s="24" t="inlineStr">
        <is>
          <t>No</t>
        </is>
      </c>
      <c r="B4" s="24" t="inlineStr">
        <is>
          <t>評価軸</t>
        </is>
      </c>
      <c r="C4" s="24" t="inlineStr">
        <is>
          <t>◯</t>
        </is>
      </c>
      <c r="D4" s="24" t="inlineStr">
        <is>
          <t>△</t>
        </is>
      </c>
      <c r="E4" s="24" t="inlineStr">
        <is>
          <t>×</t>
        </is>
      </c>
      <c r="F4" s="24" t="inlineStr">
        <is>
          <t>Must</t>
        </is>
      </c>
    </row>
    <row r="5">
      <c r="A5" s="25" t="inlineStr">
        <is>
          <t>1-1</t>
        </is>
      </c>
      <c r="B5" s="25" t="inlineStr">
        <is>
          <t>業種ターゲットとの整合</t>
        </is>
      </c>
      <c r="C5" s="25" t="inlineStr">
        <is>
          <t>重点業種①②③に直接該当</t>
        </is>
      </c>
      <c r="D5" s="25" t="inlineStr">
        <is>
          <t>追加B群（罠を回避できる形）</t>
        </is>
      </c>
      <c r="E5" s="25" t="inlineStr">
        <is>
          <t>NG業種7カテゴリ／追加C群</t>
        </is>
      </c>
      <c r="F5" s="25" t="inlineStr">
        <is>
          <t>★</t>
        </is>
      </c>
    </row>
    <row r="6">
      <c r="A6" s="25" t="inlineStr">
        <is>
          <t>1-2</t>
        </is>
      </c>
      <c r="B6" s="25" t="inlineStr">
        <is>
          <t>TE拠出額4億円以下</t>
        </is>
      </c>
      <c r="C6" s="25" t="inlineStr">
        <is>
          <t>3.0億円以下</t>
        </is>
      </c>
      <c r="D6" s="25" t="inlineStr">
        <is>
          <t>4.0〜4.5億円</t>
        </is>
      </c>
      <c r="E6" s="25" t="inlineStr">
        <is>
          <t>5.0億円超</t>
        </is>
      </c>
      <c r="F6" s="25" t="inlineStr">
        <is>
          <t>★</t>
        </is>
      </c>
    </row>
    <row r="7">
      <c r="A7" s="25" t="inlineStr">
        <is>
          <t>1-3</t>
        </is>
      </c>
      <c r="B7" s="25" t="inlineStr">
        <is>
          <t>非キャッシュ性資産</t>
        </is>
      </c>
      <c r="C7" s="25" t="inlineStr">
        <is>
          <t>EBITDA比2.0倍以下</t>
        </is>
      </c>
      <c r="D7" s="25" t="inlineStr">
        <is>
          <t>3.0〜5.0倍</t>
        </is>
      </c>
      <c r="E7" s="25" t="inlineStr">
        <is>
          <t>8.0倍超／装置産業・不動産主体</t>
        </is>
      </c>
      <c r="F7" s="25" t="inlineStr"/>
    </row>
    <row r="8">
      <c r="A8" s="25" t="inlineStr">
        <is>
          <t>2</t>
        </is>
      </c>
      <c r="B8" s="25" t="inlineStr">
        <is>
          <t>安定黒字か</t>
        </is>
      </c>
      <c r="C8" s="25" t="inlineStr">
        <is>
          <t>3期連続黒字かつ増加基調</t>
        </is>
      </c>
      <c r="D8" s="25" t="inlineStr">
        <is>
          <t>3期黒字だが直近▲20%以上</t>
        </is>
      </c>
      <c r="E8" s="25" t="inlineStr">
        <is>
          <t>2期以上赤字／実態調整後に直近赤字</t>
        </is>
      </c>
      <c r="F8" s="25" t="inlineStr">
        <is>
          <t>★</t>
        </is>
      </c>
    </row>
    <row r="9">
      <c r="A9" s="25" t="inlineStr">
        <is>
          <t>3</t>
        </is>
      </c>
      <c r="B9" s="25" t="inlineStr">
        <is>
          <t>付加価値は高いか</t>
        </is>
      </c>
      <c r="C9" s="25" t="inlineStr">
        <is>
          <t>3期すべて粗利率30%以上</t>
        </is>
      </c>
      <c r="D9" s="25" t="inlineStr">
        <is>
          <t>3期平均25〜30%</t>
        </is>
      </c>
      <c r="E9" s="25" t="inlineStr">
        <is>
          <t>3期平均20%未満／3期で5pt以上低下</t>
        </is>
      </c>
      <c r="F9" s="25" t="inlineStr"/>
    </row>
    <row r="10">
      <c r="A10" s="25" t="inlineStr">
        <is>
          <t>4</t>
        </is>
      </c>
      <c r="B10" s="25" t="inlineStr">
        <is>
          <t>永続性は高いか</t>
        </is>
      </c>
      <c r="C10" s="25" t="inlineStr">
        <is>
          <t>人口動態・法定需要が後押し</t>
        </is>
      </c>
      <c r="D10" s="25" t="inlineStr">
        <is>
          <t>横ばい・代替技術の影響が読めない</t>
        </is>
      </c>
      <c r="E10" s="25" t="inlineStr">
        <is>
          <t>10年で構造的に消える</t>
        </is>
      </c>
      <c r="F10" s="25" t="inlineStr"/>
    </row>
    <row r="11">
      <c r="A11" s="25" t="inlineStr">
        <is>
          <t>5</t>
        </is>
      </c>
      <c r="B11" s="25" t="inlineStr">
        <is>
          <t>価格は割高ではないか</t>
        </is>
      </c>
      <c r="C11" s="25" t="inlineStr">
        <is>
          <t>②5.0倍以下</t>
        </is>
      </c>
      <c r="D11" s="25" t="inlineStr">
        <is>
          <t>②6.0〜7.0倍</t>
        </is>
      </c>
      <c r="E11" s="25" t="inlineStr">
        <is>
          <t>②8.0倍超</t>
        </is>
      </c>
      <c r="F11" s="25" t="inlineStr">
        <is>
          <t>★</t>
        </is>
      </c>
    </row>
    <row r="12">
      <c r="A12" s="25" t="inlineStr">
        <is>
          <t>8-1</t>
        </is>
      </c>
      <c r="B12" s="25" t="inlineStr">
        <is>
          <t>ストック型かフロー型か</t>
        </is>
      </c>
      <c r="C12" s="25" t="inlineStr">
        <is>
          <t>ストック比率70%以上</t>
        </is>
      </c>
      <c r="D12" s="25" t="inlineStr">
        <is>
          <t>リピート中心だが契約なし</t>
        </is>
      </c>
      <c r="E12" s="25" t="inlineStr">
        <is>
          <t>スポット・案件単位が主</t>
        </is>
      </c>
      <c r="F12" s="25" t="inlineStr"/>
    </row>
    <row r="13">
      <c r="A13" s="25" t="inlineStr">
        <is>
          <t>8-2</t>
        </is>
      </c>
      <c r="B13" s="25" t="inlineStr">
        <is>
          <t>流行り廃りはあるか</t>
        </is>
      </c>
      <c r="C13" s="25" t="inlineStr">
        <is>
          <t>生活必需・法定需要</t>
        </is>
      </c>
      <c r="D13" s="25" t="inlineStr">
        <is>
          <t>一部商材がトレンド依存</t>
        </is>
      </c>
      <c r="E13" s="25" t="inlineStr">
        <is>
          <t>嗜好・流行・立地が売上を左右</t>
        </is>
      </c>
      <c r="F13" s="25" t="inlineStr"/>
    </row>
    <row r="14">
      <c r="A14" s="25" t="inlineStr">
        <is>
          <t>9</t>
        </is>
      </c>
      <c r="B14" s="25" t="inlineStr">
        <is>
          <t>売却理由</t>
        </is>
      </c>
      <c r="C14" s="25" t="inlineStr">
        <is>
          <t>高齢・後継者不在で業績と整合</t>
        </is>
      </c>
      <c r="D14" s="25" t="inlineStr">
        <is>
          <t>理由は一般的だが裏付け不足</t>
        </is>
      </c>
      <c r="E14" s="25" t="inlineStr">
        <is>
          <t>業績悪化・係争・簿外債務の兆候と符合</t>
        </is>
      </c>
      <c r="F14" s="25" t="inlineStr"/>
    </row>
    <row r="15">
      <c r="A15" s="25" t="inlineStr">
        <is>
          <t>11</t>
        </is>
      </c>
      <c r="B15" s="25" t="inlineStr">
        <is>
          <t>特定取引先に依存していないか</t>
        </is>
      </c>
      <c r="C15" s="25" t="inlineStr">
        <is>
          <t>上位1社10%未満</t>
        </is>
      </c>
      <c r="D15" s="25" t="inlineStr">
        <is>
          <t>20〜30%</t>
        </is>
      </c>
      <c r="E15" s="25" t="inlineStr">
        <is>
          <t>50%以上／代替不能な単一発注先</t>
        </is>
      </c>
      <c r="F15" s="25" t="inlineStr"/>
    </row>
    <row r="16">
      <c r="A16" s="25" t="inlineStr">
        <is>
          <t>12</t>
        </is>
      </c>
      <c r="B16" s="25" t="inlineStr">
        <is>
          <t>特定人材に依存していないか</t>
        </is>
      </c>
      <c r="C16" s="25" t="inlineStr">
        <is>
          <t>社長不在でも運営可</t>
        </is>
      </c>
      <c r="D16" s="25" t="inlineStr">
        <is>
          <t>社長の営業依存（顧問就任で緩和）</t>
        </is>
      </c>
      <c r="E16" s="25" t="inlineStr">
        <is>
          <t>有資格者が社長のみ／職人依存</t>
        </is>
      </c>
      <c r="F16" s="25" t="inlineStr"/>
    </row>
    <row r="18">
      <c r="A18" s="26" t="inlineStr">
        <is>
          <t>総合判定</t>
        </is>
      </c>
    </row>
    <row r="19">
      <c r="A19" s="27" t="inlineStr">
        <is>
          <t>C：見送り</t>
        </is>
      </c>
      <c r="B19" s="27" t="inlineStr">
        <is>
          <t>Must項目（1-1・1-2・2・5）に×が1つ以上、または全体で×が2項目以上</t>
        </is>
      </c>
    </row>
    <row r="20">
      <c r="A20" s="27" t="inlineStr">
        <is>
          <t>A：進める</t>
        </is>
      </c>
      <c r="B20" s="27" t="inlineStr">
        <is>
          <t>×ゼロ、かつ達成率75%以上（達成率＝得点÷(判定済×2)）</t>
        </is>
      </c>
    </row>
    <row r="21">
      <c r="A21" s="27" t="inlineStr">
        <is>
          <t>B：追加情報</t>
        </is>
      </c>
      <c r="B21" s="27" t="inlineStr">
        <is>
          <t>上記以外。判定済が6項目未満のときは達成率に関わらずB</t>
        </is>
      </c>
    </row>
    <row r="23">
      <c r="A23" s="26" t="inlineStr">
        <is>
          <t>売上目安</t>
        </is>
      </c>
      <c r="B23" s="27" t="inlineStr">
        <is>
          <t>300〜3,000百万円（投資条件友井タブ No.20／仲介向け資料P10）。青塗り外の項目なので◯△×には算入せず、範囲内かの表示のみ。</t>
        </is>
      </c>
    </row>
    <row r="25">
      <c r="A25" s="26" t="inlineStr">
        <is>
          <t>EV/EBITDAの閾値</t>
        </is>
      </c>
      <c r="B25" s="27" t="inlineStr">
        <is>
          <t>投資条件タブ7倍／投資条件友井タブ5倍／仲介向け資料6倍と3資料で異なるため、◯=5倍以下・△=7倍以下・×=8倍超の段階評価に畳んでいる。統一の決定が出たら直すこと。</t>
        </is>
      </c>
    </row>
  </sheetData>
  <mergeCells count="5">
    <mergeCell ref="B23:E23"/>
    <mergeCell ref="B21:E21"/>
    <mergeCell ref="B25:E25"/>
    <mergeCell ref="B19:E19"/>
    <mergeCell ref="B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26" customWidth="1" min="1" max="1"/>
    <col width="2" customWidth="1" min="2" max="2"/>
    <col width="34" customWidth="1" min="3" max="3"/>
    <col width="2" customWidth="1" min="4" max="4"/>
    <col width="16" customWidth="1" min="5" max="5"/>
    <col width="2" customWidth="1" min="6" max="6"/>
    <col width="8" customWidth="1" min="7" max="7"/>
  </cols>
  <sheetData>
    <row r="1">
      <c r="A1" s="1" t="inlineStr">
        <is>
          <t>選択肢（ドロップダウンの元データ）</t>
        </is>
      </c>
    </row>
    <row r="2">
      <c r="A2" s="28" t="inlineStr">
        <is>
          <t>仲介会社</t>
        </is>
      </c>
      <c r="C2" s="28" t="inlineStr">
        <is>
          <t>業種区分</t>
        </is>
      </c>
      <c r="E2" s="28" t="inlineStr">
        <is>
          <t>ステータス</t>
        </is>
      </c>
      <c r="G2" s="28" t="inlineStr">
        <is>
          <t>評価</t>
        </is>
      </c>
    </row>
    <row r="3">
      <c r="A3" s="27" t="inlineStr">
        <is>
          <t>M&amp;Aクラウド</t>
        </is>
      </c>
      <c r="C3" s="27" t="inlineStr">
        <is>
          <t>重点①シニア</t>
        </is>
      </c>
      <c r="E3" s="27" t="inlineStr">
        <is>
          <t>未着手</t>
        </is>
      </c>
      <c r="G3" s="27" t="inlineStr">
        <is>
          <t>◯</t>
        </is>
      </c>
    </row>
    <row r="4">
      <c r="A4" s="27" t="inlineStr">
        <is>
          <t>レコフ</t>
        </is>
      </c>
      <c r="C4" s="27" t="inlineStr">
        <is>
          <t>重点②AI・DXで伸ばせる業種</t>
        </is>
      </c>
      <c r="E4" s="27" t="inlineStr">
        <is>
          <t>初期検討中</t>
        </is>
      </c>
      <c r="G4" s="27" t="inlineStr">
        <is>
          <t>△〜◯</t>
        </is>
      </c>
    </row>
    <row r="5">
      <c r="A5" s="27" t="inlineStr">
        <is>
          <t>たすき</t>
        </is>
      </c>
      <c r="C5" s="27" t="inlineStr">
        <is>
          <t>重点③エネルギー関連</t>
        </is>
      </c>
      <c r="E5" s="27" t="inlineStr">
        <is>
          <t>追加情報待ち</t>
        </is>
      </c>
      <c r="G5" s="27" t="inlineStr">
        <is>
          <t>△</t>
        </is>
      </c>
    </row>
    <row r="6">
      <c r="A6" s="27" t="inlineStr">
        <is>
          <t>インクグロウ</t>
        </is>
      </c>
      <c r="C6" s="27" t="inlineStr">
        <is>
          <t>追加A群（狙える逆張り）</t>
        </is>
      </c>
      <c r="E6" s="27" t="inlineStr">
        <is>
          <t>NDA締結</t>
        </is>
      </c>
      <c r="G6" s="27" t="inlineStr">
        <is>
          <t>×〜△</t>
        </is>
      </c>
    </row>
    <row r="7">
      <c r="A7" s="27" t="inlineStr">
        <is>
          <t>シェアモル</t>
        </is>
      </c>
      <c r="C7" s="27" t="inlineStr">
        <is>
          <t>追加B群（化けるが罠が多い・要選別）</t>
        </is>
      </c>
      <c r="E7" s="27" t="inlineStr">
        <is>
          <t>トップ面談</t>
        </is>
      </c>
      <c r="G7" s="27" t="inlineStr">
        <is>
          <t>×</t>
        </is>
      </c>
    </row>
    <row r="8">
      <c r="A8" s="27" t="inlineStr">
        <is>
          <t>ゴエンキャピタル</t>
        </is>
      </c>
      <c r="C8" s="27" t="inlineStr">
        <is>
          <t>追加C群（構造的にNG寄り・見送り推奨）</t>
        </is>
      </c>
      <c r="E8" s="27" t="inlineStr">
        <is>
          <t>意向表明</t>
        </is>
      </c>
      <c r="G8" s="27" t="inlineStr">
        <is>
          <t>－</t>
        </is>
      </c>
    </row>
    <row r="9">
      <c r="A9" s="27" t="inlineStr">
        <is>
          <t>ソーシング・ブラザーズ</t>
        </is>
      </c>
      <c r="C9" s="27" t="inlineStr">
        <is>
          <t>NG業種7カテゴリ</t>
        </is>
      </c>
      <c r="E9" s="27" t="inlineStr">
        <is>
          <t>基本合意</t>
        </is>
      </c>
    </row>
    <row r="10">
      <c r="A10" s="27" t="inlineStr">
        <is>
          <t>M&amp;Aロイヤル</t>
        </is>
      </c>
      <c r="C10" s="27" t="inlineStr">
        <is>
          <t>その他</t>
        </is>
      </c>
      <c r="E10" s="27" t="inlineStr">
        <is>
          <t>DD</t>
        </is>
      </c>
    </row>
    <row r="11">
      <c r="A11" s="27" t="inlineStr">
        <is>
          <t>Innovation M&amp;A</t>
        </is>
      </c>
      <c r="E11" s="27" t="inlineStr">
        <is>
          <t>最終契約</t>
        </is>
      </c>
    </row>
    <row r="12">
      <c r="A12" s="27" t="inlineStr">
        <is>
          <t>M&amp;Aフォース</t>
        </is>
      </c>
      <c r="E12" s="27" t="inlineStr">
        <is>
          <t>クロージング</t>
        </is>
      </c>
    </row>
    <row r="13">
      <c r="A13" s="27" t="inlineStr">
        <is>
          <t>Byside</t>
        </is>
      </c>
      <c r="E13" s="27" t="inlineStr">
        <is>
          <t>見送り</t>
        </is>
      </c>
    </row>
    <row r="14">
      <c r="A14" s="27" t="inlineStr">
        <is>
          <t>NEWOLD CAPITAL</t>
        </is>
      </c>
      <c r="E14" s="27" t="inlineStr">
        <is>
          <t>先方都合で終了</t>
        </is>
      </c>
    </row>
    <row r="15">
      <c r="A15" s="27" t="inlineStr">
        <is>
          <t>リンクタイズワークス</t>
        </is>
      </c>
    </row>
    <row r="16">
      <c r="A16" s="27" t="inlineStr">
        <is>
          <t>M&amp;Aサクシード</t>
        </is>
      </c>
    </row>
    <row r="17">
      <c r="A17" s="27" t="inlineStr">
        <is>
          <t>スピカコンサルティング</t>
        </is>
      </c>
    </row>
    <row r="18">
      <c r="A18" s="27" t="inlineStr">
        <is>
          <t>アイコンキャピタル</t>
        </is>
      </c>
    </row>
    <row r="19">
      <c r="A19" s="27" t="inlineStr">
        <is>
          <t>fundbook</t>
        </is>
      </c>
    </row>
    <row r="20">
      <c r="A20" s="27" t="inlineStr">
        <is>
          <t>maXアドバイザリー</t>
        </is>
      </c>
    </row>
    <row r="21">
      <c r="A21" s="27" t="inlineStr">
        <is>
          <t>ウィルゲート</t>
        </is>
      </c>
    </row>
    <row r="22">
      <c r="A22" s="27" t="inlineStr">
        <is>
          <t>バディーズ</t>
        </is>
      </c>
    </row>
    <row r="23">
      <c r="A23" s="27" t="inlineStr">
        <is>
          <t>M&amp;A総合研究所</t>
        </is>
      </c>
    </row>
    <row r="24">
      <c r="A24" s="27" t="inlineStr">
        <is>
          <t>M&amp;A承継機構</t>
        </is>
      </c>
    </row>
    <row r="25">
      <c r="A25" s="27" t="inlineStr">
        <is>
          <t>名南M&amp;A</t>
        </is>
      </c>
    </row>
    <row r="26">
      <c r="A26" s="27" t="inlineStr">
        <is>
          <t>HCフィナンシャル</t>
        </is>
      </c>
    </row>
    <row r="27">
      <c r="A27" s="27" t="inlineStr">
        <is>
          <t>M&amp;Aキャピタルパートナーズ</t>
        </is>
      </c>
    </row>
    <row r="28">
      <c r="A28" s="27" t="inlineStr">
        <is>
          <t>Anyglo</t>
        </is>
      </c>
    </row>
    <row r="29">
      <c r="A29" s="27" t="inlineStr">
        <is>
          <t>M&amp;A Lead</t>
        </is>
      </c>
    </row>
    <row r="30">
      <c r="A30" s="27" t="inlineStr">
        <is>
          <t>プレックス</t>
        </is>
      </c>
    </row>
    <row r="31">
      <c r="A31" s="27" t="inlineStr">
        <is>
          <t>ストライク</t>
        </is>
      </c>
    </row>
    <row r="32">
      <c r="A32" s="27" t="inlineStr">
        <is>
          <t>インテグループ</t>
        </is>
      </c>
    </row>
    <row r="33">
      <c r="A33" s="27" t="inlineStr">
        <is>
          <t>オンデック</t>
        </is>
      </c>
    </row>
    <row r="34">
      <c r="A34" s="27" t="inlineStr">
        <is>
          <t>M&amp;A開発支援</t>
        </is>
      </c>
    </row>
    <row r="35">
      <c r="A35" s="27" t="inlineStr">
        <is>
          <t>ブティックス</t>
        </is>
      </c>
    </row>
    <row r="36">
      <c r="A36" s="27" t="inlineStr">
        <is>
          <t>M&amp;Aプロパティーズ</t>
        </is>
      </c>
    </row>
    <row r="40">
      <c r="A40" s="2" t="inlineStr">
        <is>
          <t>仲介会社は「仲介会社資料管理」フォルダの34社。増えたらここに足せば案件管理タブの選択肢に反映される。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2026-09-28T09:07:03Z</dcterms:created>
  <dcterms:modified xsi:type="dcterms:W3CDTF">2026-09-28T09:07:04Z</dcterms:modified>
</cp:coreProperties>
</file>