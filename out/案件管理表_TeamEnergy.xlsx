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案件管理" sheetId="1" state="visible" r:id="rId1"/>
    <sheet name="質問リスト" sheetId="2" state="visible" r:id="rId2"/>
    <sheet name="友井→服部" sheetId="3" state="visible" r:id="rId3"/>
    <sheet name="仲介会社管理シート" sheetId="4" state="visible" r:id="rId4"/>
    <sheet name="判定基準" sheetId="5" state="visible" r:id="rId5"/>
    <sheet name="選択肢" sheetId="6" state="visible" r:id="rId6"/>
  </sheets>
  <definedNames>
    <definedName name="_xlnm._FilterDatabase" localSheetId="0" hidden="1">'案件管理'!$A$4:$AQ$104</definedName>
    <definedName name="_xlnm._FilterDatabase" localSheetId="1" hidden="1">'質問リスト'!$A$3:$O$303</definedName>
    <definedName name="_xlnm._FilterDatabase" localSheetId="2" hidden="1">'友井→服部'!$A$4:$T$104</definedName>
  </definedNames>
  <calcPr calcId="124519" fullCalcOnLoad="1"/>
</workbook>
</file>

<file path=xl/styles.xml><?xml version="1.0" encoding="utf-8"?>
<styleSheet xmlns="http://schemas.openxmlformats.org/spreadsheetml/2006/main">
  <numFmts count="5">
    <numFmt numFmtId="164" formatCode="#,##0.0"/>
    <numFmt numFmtId="165" formatCode="0.0&quot;倍&quot;"/>
    <numFmt numFmtId="166" formatCode="0.0"/>
    <numFmt numFmtId="167" formatCode="yyyy/mm/dd"/>
    <numFmt numFmtId="168" formatCode="yyyy-mm-dd"/>
  </numFmts>
  <fonts count="10">
    <font>
      <name val="Calibri"/>
      <family val="2"/>
      <color theme="1"/>
      <sz val="11"/>
      <scheme val="minor"/>
    </font>
    <font>
      <name val="Arial"/>
      <b val="1"/>
      <color rgb="00141414"/>
      <sz val="14"/>
    </font>
    <font>
      <name val="Arial"/>
      <color rgb="006D6D6F"/>
      <sz val="9"/>
    </font>
    <font>
      <name val="Arial"/>
      <b val="1"/>
      <color rgb="00FFFFFF"/>
      <sz val="9"/>
    </font>
    <font>
      <name val="Arial"/>
      <b val="1"/>
      <color rgb="00141414"/>
      <sz val="9"/>
    </font>
    <font>
      <name val="Arial"/>
      <color rgb="00141414"/>
      <sz val="10"/>
    </font>
    <font>
      <name val="Arial"/>
      <color rgb="000000FF"/>
      <sz val="10"/>
    </font>
    <font>
      <name val="Arial"/>
      <b val="1"/>
      <color rgb="00141414"/>
      <sz val="11"/>
    </font>
    <font>
      <name val="Arial"/>
      <b val="1"/>
      <color rgb="00141414"/>
      <sz val="10"/>
    </font>
    <font>
      <name val="Arial"/>
      <b val="1"/>
      <color rgb="000000FF"/>
      <sz val="10"/>
    </font>
  </fonts>
  <fills count="14">
    <fill>
      <patternFill/>
    </fill>
    <fill>
      <patternFill patternType="gray125"/>
    </fill>
    <fill>
      <patternFill patternType="solid">
        <fgColor rgb="005B7C99"/>
      </patternFill>
    </fill>
    <fill>
      <patternFill patternType="solid">
        <fgColor rgb="007B8B9A"/>
      </patternFill>
    </fill>
    <fill>
      <patternFill patternType="solid">
        <fgColor rgb="003D6B8E"/>
      </patternFill>
    </fill>
    <fill>
      <patternFill patternType="solid">
        <fgColor rgb="001F4E79"/>
      </patternFill>
    </fill>
    <fill>
      <patternFill patternType="solid">
        <fgColor rgb="002E6B4F"/>
      </patternFill>
    </fill>
    <fill>
      <patternFill patternType="solid">
        <fgColor rgb="006B7F8C"/>
      </patternFill>
    </fill>
    <fill>
      <patternFill patternType="solid">
        <fgColor rgb="009AA5AD"/>
      </patternFill>
    </fill>
    <fill>
      <patternFill patternType="solid">
        <fgColor rgb="00CFE2F3"/>
      </patternFill>
    </fill>
    <fill>
      <patternFill patternType="solid">
        <fgColor rgb="00E2E2E2"/>
      </patternFill>
    </fill>
    <fill>
      <patternFill patternType="solid">
        <fgColor rgb="00FFFDE7"/>
      </patternFill>
    </fill>
    <fill>
      <patternFill patternType="solid">
        <fgColor rgb="00F3F3F3"/>
      </patternFill>
    </fill>
    <fill>
      <patternFill patternType="solid">
        <fgColor rgb="00E8F0E4"/>
      </patternFill>
    </fill>
  </fills>
  <borders count="3">
    <border>
      <left/>
      <right/>
      <top/>
      <bottom/>
      <diagonal/>
    </border>
    <border>
      <left style="thin">
        <color rgb="00BFBFBF"/>
      </left>
      <right style="thin">
        <color rgb="00BFBFBF"/>
      </right>
      <top style="thin">
        <color rgb="00BFBFBF"/>
      </top>
      <bottom style="medium">
        <color rgb="009E9E9E"/>
      </bottom>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3" fillId="3" borderId="0" applyAlignment="1" pivotButton="0" quotePrefix="0" xfId="0">
      <alignment horizontal="center" vertical="center"/>
    </xf>
    <xf numFmtId="0" fontId="3" fillId="4" borderId="0" applyAlignment="1" pivotButton="0" quotePrefix="0" xfId="0">
      <alignment horizontal="center" vertical="center"/>
    </xf>
    <xf numFmtId="0" fontId="3" fillId="5" borderId="0" applyAlignment="1" pivotButton="0" quotePrefix="0" xfId="0">
      <alignment horizontal="center" vertical="center"/>
    </xf>
    <xf numFmtId="0" fontId="3" fillId="6" borderId="0" applyAlignment="1" pivotButton="0" quotePrefix="0" xfId="0">
      <alignment horizontal="center" vertical="center"/>
    </xf>
    <xf numFmtId="0" fontId="3" fillId="7" borderId="0" applyAlignment="1" pivotButton="0" quotePrefix="0" xfId="0">
      <alignment horizontal="center" vertical="center"/>
    </xf>
    <xf numFmtId="0" fontId="3" fillId="8" borderId="0" applyAlignment="1" pivotButton="0" quotePrefix="0" xfId="0">
      <alignment horizontal="center" vertical="center"/>
    </xf>
    <xf numFmtId="0" fontId="4" fillId="9" borderId="1" applyAlignment="1" pivotButton="0" quotePrefix="0" xfId="0">
      <alignment horizontal="center" vertical="center" wrapText="1"/>
    </xf>
    <xf numFmtId="0" fontId="4" fillId="10" borderId="1" applyAlignment="1" pivotButton="0" quotePrefix="0" xfId="0">
      <alignment horizontal="center" vertical="center" wrapText="1"/>
    </xf>
    <xf numFmtId="0" fontId="6" fillId="11" borderId="2" applyAlignment="1" pivotButton="0" quotePrefix="0" xfId="0">
      <alignment vertical="top"/>
    </xf>
    <xf numFmtId="0" fontId="6" fillId="11" borderId="2" applyAlignment="1" pivotButton="0" quotePrefix="0" xfId="0">
      <alignment vertical="top" wrapText="1"/>
    </xf>
    <xf numFmtId="164" fontId="6" fillId="11" borderId="2" applyAlignment="1" pivotButton="0" quotePrefix="0" xfId="0">
      <alignment vertical="top"/>
    </xf>
    <xf numFmtId="165" fontId="5" fillId="12" borderId="2" applyAlignment="1" pivotButton="0" quotePrefix="0" xfId="0">
      <alignment vertical="top"/>
    </xf>
    <xf numFmtId="0" fontId="6" fillId="11" borderId="2" applyAlignment="1" pivotButton="0" quotePrefix="0" xfId="0">
      <alignment horizontal="center" vertical="center"/>
    </xf>
    <xf numFmtId="0" fontId="5" fillId="12" borderId="2" applyAlignment="1" pivotButton="0" quotePrefix="0" xfId="0">
      <alignment vertical="top"/>
    </xf>
    <xf numFmtId="9" fontId="5" fillId="12" borderId="2" applyAlignment="1" pivotButton="0" quotePrefix="0" xfId="0">
      <alignment vertical="top"/>
    </xf>
    <xf numFmtId="167" fontId="6" fillId="11" borderId="2" applyAlignment="1" pivotButton="0" quotePrefix="0" xfId="0">
      <alignment vertical="top"/>
    </xf>
    <xf numFmtId="0" fontId="5" fillId="11" borderId="2" applyAlignment="1" pivotButton="0" quotePrefix="0" xfId="0">
      <alignment vertical="top" wrapText="1"/>
    </xf>
    <xf numFmtId="166" fontId="5" fillId="12" borderId="2" applyAlignment="1" pivotButton="0" quotePrefix="0" xfId="0">
      <alignment vertical="top"/>
    </xf>
    <xf numFmtId="167" fontId="5" fillId="11" borderId="2" applyAlignment="1" pivotButton="0" quotePrefix="0" xfId="0">
      <alignment vertical="top"/>
    </xf>
    <xf numFmtId="0" fontId="5" fillId="11" borderId="2" applyAlignment="1" pivotButton="0" quotePrefix="0" xfId="0">
      <alignment vertical="top"/>
    </xf>
    <xf numFmtId="164" fontId="5" fillId="11" borderId="2" applyAlignment="1" pivotButton="0" quotePrefix="0" xfId="0">
      <alignment vertical="top"/>
    </xf>
    <xf numFmtId="0" fontId="5" fillId="11" borderId="2" applyAlignment="1" pivotButton="0" quotePrefix="0" xfId="0">
      <alignment horizontal="center" vertical="center"/>
    </xf>
    <xf numFmtId="0" fontId="2" fillId="0" borderId="0" applyAlignment="1" pivotButton="0" quotePrefix="0" xfId="0">
      <alignment vertical="top" wrapText="1"/>
    </xf>
    <xf numFmtId="0" fontId="6" fillId="11" borderId="2" applyAlignment="1" pivotButton="0" quotePrefix="0" xfId="0">
      <alignment horizontal="center" vertical="top"/>
    </xf>
    <xf numFmtId="0" fontId="5" fillId="11" borderId="2" applyAlignment="1" pivotButton="0" quotePrefix="0" xfId="0">
      <alignment horizontal="center" vertical="top"/>
    </xf>
    <xf numFmtId="0" fontId="7" fillId="13" borderId="0" applyAlignment="1" pivotButton="0" quotePrefix="0" xfId="0">
      <alignment horizontal="left" vertical="center"/>
    </xf>
    <xf numFmtId="0" fontId="5" fillId="11" borderId="2" applyAlignment="1" pivotButton="0" quotePrefix="0" xfId="0">
      <alignment horizontal="center"/>
    </xf>
    <xf numFmtId="0" fontId="5" fillId="12" borderId="2" applyAlignment="1" pivotButton="0" quotePrefix="0" xfId="0">
      <alignment vertical="top" wrapText="1"/>
    </xf>
    <xf numFmtId="164" fontId="5" fillId="12" borderId="2" applyAlignment="1" pivotButton="0" quotePrefix="0" xfId="0">
      <alignment vertical="top"/>
    </xf>
    <xf numFmtId="0" fontId="4" fillId="9" borderId="0" applyAlignment="1" pivotButton="0" quotePrefix="0" xfId="0">
      <alignment horizontal="center" vertical="center" wrapText="1"/>
    </xf>
    <xf numFmtId="0" fontId="3" fillId="6" borderId="0" applyAlignment="1" pivotButton="0" quotePrefix="0" xfId="0">
      <alignment horizontal="center" vertical="center" wrapText="1"/>
    </xf>
    <xf numFmtId="0" fontId="8" fillId="12" borderId="2" pivotButton="0" quotePrefix="0" xfId="0"/>
    <xf numFmtId="9" fontId="8" fillId="12" borderId="2" pivotButton="0" quotePrefix="0" xfId="0"/>
    <xf numFmtId="0" fontId="5" fillId="12" borderId="2" applyAlignment="1" pivotButton="0" quotePrefix="0" xfId="0">
      <alignment horizontal="center"/>
    </xf>
    <xf numFmtId="9" fontId="5" fillId="12" borderId="2" applyAlignment="1" pivotButton="0" quotePrefix="0" xfId="0">
      <alignment horizontal="center"/>
    </xf>
    <xf numFmtId="0" fontId="4" fillId="9" borderId="2" applyAlignment="1" pivotButton="0" quotePrefix="0" xfId="0">
      <alignment vertical="top" wrapText="1"/>
    </xf>
    <xf numFmtId="0" fontId="5" fillId="0" borderId="2" applyAlignment="1" pivotButton="0" quotePrefix="0" xfId="0">
      <alignment vertical="top" wrapText="1"/>
    </xf>
    <xf numFmtId="0" fontId="4" fillId="0" borderId="0" pivotButton="0" quotePrefix="0" xfId="0"/>
    <xf numFmtId="0" fontId="5" fillId="0" borderId="0" pivotButton="0" quotePrefix="0" xfId="0"/>
    <xf numFmtId="0" fontId="9" fillId="11" borderId="2" applyAlignment="1" pivotButton="0" quotePrefix="0" xfId="0">
      <alignment horizontal="center"/>
    </xf>
    <xf numFmtId="0" fontId="4" fillId="9" borderId="0" pivotButton="0" quotePrefix="0" xfId="0"/>
  </cellXfs>
  <cellStyles count="1">
    <cellStyle name="Normal" xfId="0" builtinId="0" hidden="0"/>
  </cellStyles>
  <dxfs count="6">
    <dxf>
      <fill>
        <patternFill patternType="solid">
          <fgColor rgb="00B7E1CD"/>
        </patternFill>
      </fill>
    </dxf>
    <dxf>
      <fill>
        <patternFill patternType="solid">
          <fgColor rgb="00D9EAD3"/>
        </patternFill>
      </fill>
    </dxf>
    <dxf>
      <fill>
        <patternFill patternType="solid">
          <fgColor rgb="00FFF2CC"/>
        </patternFill>
      </fill>
    </dxf>
    <dxf>
      <fill>
        <patternFill patternType="solid">
          <fgColor rgb="00FCE5CD"/>
        </patternFill>
      </fill>
    </dxf>
    <dxf>
      <fill>
        <patternFill patternType="solid">
          <fgColor rgb="00F4C7C3"/>
        </patternFill>
      </fill>
    </dxf>
    <dxf>
      <fill>
        <patternFill patternType="solid">
          <fgColor rgb="00EFEF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deal-screening</author>
  </authors>
  <commentList>
    <comment ref="I4" authorId="0" shapeId="0">
      <text>
        <t>【Must】×が1つでも付けば総合C
投資ポリシーとの合致／業種ターゲットとの整合
◯ 重点業種①②③に直接該当／△ 追加B群で罠を回避できる形／× NG業種7カテゴリ・追加C群</t>
      </text>
    </comment>
    <comment ref="J4" authorId="0" shapeId="0">
      <text>
        <t>【Must】×が1つでも付けば総合C
投資ポリシーとの合致／4億円以下のTE拠出額で承継できるか
◯ 3.0億円以下／△ 4.0〜4.5億円／× 5.0億円超</t>
      </text>
    </comment>
    <comment ref="K4" authorId="0" shapeId="0">
      <text>
        <t>投資ポリシーとの合致／非キャッシュ性資産が重くないか
（有形固定資産＋棚卸）÷実態EBITDA　◯ 2.0倍以下／△ 3.0〜5.0倍／× 8.0倍超</t>
      </text>
    </comment>
    <comment ref="L4" authorId="0" shapeId="0">
      <text>
        <t>【Must】×が1つでも付けば総合C
安定黒字か／実態EBITDAが3期連続黒字か
◯ 3期連続黒字かつ増加基調／△ 直近が前期比▲20%以上／× 2期以上赤字</t>
      </text>
    </comment>
    <comment ref="M4" authorId="0" shapeId="0">
      <text>
        <t>付加価値は高いか／3期連続で粗利率30%以上か
◯ 3期すべて30%以上／△ 3期平均25〜30%／× 3期平均20%未満・5pt以上低下</t>
      </text>
    </comment>
    <comment ref="N4" authorId="0" shapeId="0">
      <text>
        <t>永続性は高いか／市場は10年後も残り続けるか
◯ 人口動態・法定需要が後押し／△ 横ばい・代替技術の影響が読めない／× 構造的に消える</t>
      </text>
    </comment>
    <comment ref="O4" authorId="0" shapeId="0">
      <text>
        <t>【Must】×が1つでも付けば総合C
価格は割高ではないか／②(EV＋承継コスト)/EBITDA
EV＝譲渡価格−実質NetCash（＝簿価NetCash−平均必要運転資金）
◯ 5.0倍以下／△ 6.0〜7.0倍／× 8.0倍超</t>
      </text>
    </comment>
    <comment ref="P4" authorId="0" shapeId="0">
      <text>
        <t>事業ボラティリティは低いか／ストック型かフロー型か
◯ ストック比率70%以上／△ リピート中心だが契約なし／× スポット・案件単位が主</t>
      </text>
    </comment>
    <comment ref="Q4" authorId="0" shapeId="0">
      <text>
        <t>事業ボラティリティは低いか／流行り廃りはあるか
◯ 生活必需・法定需要／△ 一部商材がトレンド依存／× 嗜好・流行・立地が売上を左右</t>
      </text>
    </comment>
    <comment ref="R4" authorId="0" shapeId="0">
      <text>
        <t>売却理由／隠された大きなリスクは無いか
◯ 高齢・後継者不在で業績と整合／△ 理由が一般的で裏付け不足／× 業績悪化・係争の兆候と符合</t>
      </text>
    </comment>
    <comment ref="S4" authorId="0" shapeId="0">
      <text>
        <t>特定取引先に依存していないか／上位1社の売上比率・仕入比率（悪い方）
◯ 10%未満／△ 20〜30%／× 50%以上・代替不能な単一発注先</t>
      </text>
    </comment>
    <comment ref="T4" authorId="0" shapeId="0">
      <text>
        <t>特定人材に依存していないか／依存人材の代替可能性
◯ 社長不在でも運営可／△ 社長の営業依存（顧問就任で緩和）／× 有資格者が社長のみ・職人依存</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Q1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30" customWidth="1" min="3" max="3"/>
    <col width="18" customWidth="1" min="4" max="4"/>
    <col width="9" customWidth="1" min="5" max="5"/>
    <col width="10" customWidth="1" min="6" max="6"/>
    <col width="11" customWidth="1" min="7" max="7"/>
    <col width="9"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16" customWidth="1" min="21" max="21"/>
    <col width="8" customWidth="1" min="22" max="22"/>
    <col width="7" customWidth="1" min="23" max="23"/>
    <col width="12" customWidth="1" min="24" max="24"/>
    <col width="26" customWidth="1" min="25" max="25"/>
    <col width="10" customWidth="1" min="26" max="26"/>
    <col width="11" customWidth="1" min="27" max="27"/>
    <col width="34" customWidth="1" min="28" max="28"/>
    <col width="26" customWidth="1" min="29" max="29"/>
    <col width="10" customWidth="1" min="30" max="30"/>
    <col width="18" customWidth="1" min="31" max="31"/>
    <col width="12" customWidth="1" min="32" max="32"/>
    <col width="11" customWidth="1" min="33" max="33"/>
    <col width="11" customWidth="1" min="34" max="34"/>
    <col width="12" customWidth="1" min="35" max="35"/>
    <col width="15" customWidth="1" min="36" max="36"/>
    <col width="12" customWidth="1" min="37" max="37"/>
    <col width="18" customWidth="1" min="38" max="38"/>
    <col width="22" customWidth="1" min="39" max="39"/>
    <col hidden="1" width="7" customWidth="1" min="40" max="40"/>
    <col hidden="1" width="7" customWidth="1" min="41" max="41"/>
    <col hidden="1" width="7" customWidth="1" min="42" max="42"/>
    <col hidden="1" width="7" customWidth="1" min="43" max="43"/>
  </cols>
  <sheetData>
    <row r="1">
      <c r="A1" s="1" t="inlineStr">
        <is>
          <t>案件管理（初期検討まで1ページ）</t>
        </is>
      </c>
    </row>
    <row r="2">
      <c r="A2" s="2" t="inlineStr">
        <is>
          <t>【凡例】薄い黄色＝入力欄、灰色＝自動計算（触らない）。金額は百万円。◯△×の12列は右クリック→メモで評価基準が出ます。5行目は架空の記入例（削除可）、6行目は実案件の入力済みサンプル。得点・判定済などの内部計算列は右端に隠してあります。</t>
        </is>
      </c>
    </row>
    <row r="3" ht="18" customHeight="1">
      <c r="A3" s="3" t="inlineStr">
        <is>
          <t>キー</t>
        </is>
      </c>
      <c r="C3" s="4" t="inlineStr">
        <is>
          <t>案件情報</t>
        </is>
      </c>
      <c r="E3" s="5" t="inlineStr">
        <is>
          <t>主要数値（単位：百万円）</t>
        </is>
      </c>
      <c r="I3" s="6" t="inlineStr">
        <is>
          <t>初期検討（投資条件タブ 青塗り12項目）　★=Must</t>
        </is>
      </c>
      <c r="U3" s="7" t="inlineStr">
        <is>
          <t>判定</t>
        </is>
      </c>
      <c r="X3" s="8" t="inlineStr">
        <is>
          <t>進行管理</t>
        </is>
      </c>
      <c r="AD3" s="9" t="inlineStr">
        <is>
          <t>補足（仲介・価格の内訳・保管先）</t>
        </is>
      </c>
    </row>
    <row r="4" ht="34" customHeight="1">
      <c r="A4" s="10" t="inlineStr">
        <is>
          <t>No</t>
        </is>
      </c>
      <c r="B4" s="10" t="inlineStr">
        <is>
          <t>企業名</t>
        </is>
      </c>
      <c r="C4" s="10" t="inlineStr">
        <is>
          <t>事業内容</t>
        </is>
      </c>
      <c r="D4" s="10" t="inlineStr">
        <is>
          <t>業種区分</t>
        </is>
      </c>
      <c r="E4" s="10" t="inlineStr">
        <is>
          <t>譲渡価格</t>
        </is>
      </c>
      <c r="F4" s="10" t="inlineStr">
        <is>
          <t>実態EBITDA</t>
        </is>
      </c>
      <c r="G4" s="11" t="inlineStr">
        <is>
          <t>EV/EBITDA
マルチプル</t>
        </is>
      </c>
      <c r="H4" s="10" t="inlineStr">
        <is>
          <t>売上</t>
        </is>
      </c>
      <c r="I4" s="10" t="inlineStr">
        <is>
          <t>★
1-1</t>
        </is>
      </c>
      <c r="J4" s="10" t="inlineStr">
        <is>
          <t>★
1-2</t>
        </is>
      </c>
      <c r="K4" s="10" t="inlineStr">
        <is>
          <t>1-3</t>
        </is>
      </c>
      <c r="L4" s="10" t="inlineStr">
        <is>
          <t>★
2</t>
        </is>
      </c>
      <c r="M4" s="10" t="inlineStr">
        <is>
          <t>3</t>
        </is>
      </c>
      <c r="N4" s="10" t="inlineStr">
        <is>
          <t>4</t>
        </is>
      </c>
      <c r="O4" s="10" t="inlineStr">
        <is>
          <t>★
5</t>
        </is>
      </c>
      <c r="P4" s="10" t="inlineStr">
        <is>
          <t>8-1</t>
        </is>
      </c>
      <c r="Q4" s="10" t="inlineStr">
        <is>
          <t>8-2</t>
        </is>
      </c>
      <c r="R4" s="10" t="inlineStr">
        <is>
          <t>9</t>
        </is>
      </c>
      <c r="S4" s="10" t="inlineStr">
        <is>
          <t>11</t>
        </is>
      </c>
      <c r="T4" s="10" t="inlineStr">
        <is>
          <t>12</t>
        </is>
      </c>
      <c r="U4" s="11" t="inlineStr">
        <is>
          <t>総合判定</t>
        </is>
      </c>
      <c r="V4" s="11" t="inlineStr">
        <is>
          <t>達成率</t>
        </is>
      </c>
      <c r="W4" s="11" t="inlineStr">
        <is>
          <t>未解決
質問</t>
        </is>
      </c>
      <c r="X4" s="10" t="inlineStr">
        <is>
          <t>ステータス</t>
        </is>
      </c>
      <c r="Y4" s="10" t="inlineStr">
        <is>
          <t>次アクション</t>
        </is>
      </c>
      <c r="Z4" s="10" t="inlineStr">
        <is>
          <t>期限</t>
        </is>
      </c>
      <c r="AA4" s="10" t="inlineStr">
        <is>
          <t>意向表明期限</t>
        </is>
      </c>
      <c r="AB4" s="10" t="inlineStr">
        <is>
          <t>初期検討メモ</t>
        </is>
      </c>
      <c r="AC4" s="10" t="inlineStr">
        <is>
          <t>見送り理由</t>
        </is>
      </c>
      <c r="AD4" s="10" t="inlineStr">
        <is>
          <t>流入日</t>
        </is>
      </c>
      <c r="AE4" s="10" t="inlineStr">
        <is>
          <t>仲介会社</t>
        </is>
      </c>
      <c r="AF4" s="10" t="inlineStr">
        <is>
          <t>仲介担当者</t>
        </is>
      </c>
      <c r="AG4" s="10" t="inlineStr">
        <is>
          <t>所在地</t>
        </is>
      </c>
      <c r="AH4" s="10" t="inlineStr">
        <is>
          <t>簿価NetCash</t>
        </is>
      </c>
      <c r="AI4" s="10" t="inlineStr">
        <is>
          <t>平均必要
運転資金</t>
        </is>
      </c>
      <c r="AJ4" s="11" t="inlineStr">
        <is>
          <t>売上レンジ</t>
        </is>
      </c>
      <c r="AK4" s="11" t="inlineStr">
        <is>
          <t>参考：簿価
ベース倍率</t>
        </is>
      </c>
      <c r="AL4" s="10" t="inlineStr">
        <is>
          <t>資料保管先／IM</t>
        </is>
      </c>
      <c r="AM4" s="10" t="inlineStr">
        <is>
          <t>備考</t>
        </is>
      </c>
      <c r="AN4" s="11" t="inlineStr">
        <is>
          <t>得点</t>
        </is>
      </c>
      <c r="AO4" s="11" t="inlineStr">
        <is>
          <t>判定済</t>
        </is>
      </c>
      <c r="AP4" s="11" t="inlineStr">
        <is>
          <t>×件数</t>
        </is>
      </c>
      <c r="AQ4" s="11" t="inlineStr">
        <is>
          <t>Must×</t>
        </is>
      </c>
    </row>
    <row r="5">
      <c r="A5" s="12" t="n">
        <v>1</v>
      </c>
      <c r="B5" s="12" t="inlineStr">
        <is>
          <t>（記入例）株式会社サンプル配食サービス</t>
        </is>
      </c>
      <c r="C5" s="13" t="inlineStr">
        <is>
          <t>高齢者向けの栄養管理食を製造し、定期宅配で提供。売上の8割が月額定期契約</t>
        </is>
      </c>
      <c r="D5" s="12" t="inlineStr">
        <is>
          <t>重点①シニア</t>
        </is>
      </c>
      <c r="E5" s="14" t="n">
        <v>480</v>
      </c>
      <c r="F5" s="14" t="n">
        <v>95</v>
      </c>
      <c r="G5" s="15">
        <f>IF(OR($E5="",$F5="",$AH5="",$AI5="",$F5&lt;=0),"",($E5-($AH5-$AI5))/$F5)</f>
        <v/>
      </c>
      <c r="H5" s="14" t="n">
        <v>1240</v>
      </c>
      <c r="I5" s="16" t="inlineStr">
        <is>
          <t>◯</t>
        </is>
      </c>
      <c r="J5" s="16" t="inlineStr">
        <is>
          <t>◯</t>
        </is>
      </c>
      <c r="K5" s="16" t="inlineStr">
        <is>
          <t>◯</t>
        </is>
      </c>
      <c r="L5" s="16" t="inlineStr">
        <is>
          <t>◯</t>
        </is>
      </c>
      <c r="M5" s="16" t="inlineStr">
        <is>
          <t>◯</t>
        </is>
      </c>
      <c r="N5" s="16" t="inlineStr">
        <is>
          <t>◯</t>
        </is>
      </c>
      <c r="O5" s="16" t="inlineStr">
        <is>
          <t>△〜◯</t>
        </is>
      </c>
      <c r="P5" s="16" t="inlineStr">
        <is>
          <t>◯</t>
        </is>
      </c>
      <c r="Q5" s="16" t="inlineStr">
        <is>
          <t>△〜◯</t>
        </is>
      </c>
      <c r="R5" s="16" t="inlineStr">
        <is>
          <t>△</t>
        </is>
      </c>
      <c r="S5" s="16" t="inlineStr">
        <is>
          <t>△〜◯</t>
        </is>
      </c>
      <c r="T5" s="16" t="inlineStr">
        <is>
          <t>△</t>
        </is>
      </c>
      <c r="U5" s="17">
        <f>IF($AO5=0,"",IF($AQ5&gt;0,"C：見送り（Must×）",IF($AP5&gt;=2,"C：見送り（×2件以上）",IF($AO5&lt;6,"B：追加情報を取得",IF(AND($AP5=0,$AN5/($AO5*2)&gt;=0.75),"A：進める","B：追加情報を取得")))))</f>
        <v/>
      </c>
      <c r="V5" s="18">
        <f>IF($AO5=0,"",$AN5/($AO5*2))</f>
        <v/>
      </c>
      <c r="W5" s="17">
        <f>IF($A5="","",COUNTIFS(質問リスト!$A$4:$A$303,$A5,質問リスト!$O$4:$O$303,"&lt;&gt;解決"))</f>
        <v/>
      </c>
      <c r="X5" s="12" t="inlineStr">
        <is>
          <t>初期検討中</t>
        </is>
      </c>
      <c r="Y5" s="13" t="inlineStr">
        <is>
          <t>得意先別売上構成の受領を依頼</t>
        </is>
      </c>
      <c r="Z5" s="19" t="n">
        <v>46298</v>
      </c>
      <c r="AA5" s="19" t="n">
        <v>46326</v>
      </c>
      <c r="AB5" s="13" t="inlineStr">
        <is>
          <t>ストック性が高く重点業種に直球。価格は②5.1倍で許容内</t>
        </is>
      </c>
      <c r="AC5" s="20" t="n"/>
      <c r="AD5" s="19" t="n">
        <v>46285</v>
      </c>
      <c r="AE5" s="12" t="inlineStr">
        <is>
          <t>株式会社maXアドバイザリー</t>
        </is>
      </c>
      <c r="AF5" s="12" t="inlineStr">
        <is>
          <t>稲見様</t>
        </is>
      </c>
      <c r="AG5" s="12" t="inlineStr">
        <is>
          <t>大阪府</t>
        </is>
      </c>
      <c r="AH5" s="14" t="n">
        <v>60</v>
      </c>
      <c r="AI5" s="14" t="n">
        <v>25</v>
      </c>
      <c r="AJ5" s="17">
        <f>IF($H5="","",IF($H5&lt;300,"下限未満（対象外）",IF($H5&gt;3000,"上限超（対象外）","範囲内")))</f>
        <v/>
      </c>
      <c r="AK5" s="15">
        <f>IF(OR($E5="",$F5="",$AH5="",$F5&lt;=0),"",($E5-$AH5)/$F5)</f>
        <v/>
      </c>
      <c r="AL5" s="12" t="inlineStr">
        <is>
          <t>仲介会社資料管理／maX</t>
        </is>
      </c>
      <c r="AM5" s="13" t="inlineStr">
        <is>
          <t>架空の例。使い始めるときに削除してください</t>
        </is>
      </c>
      <c r="AN5" s="21">
        <f>COUNTIF($I5:$T5,"◯")*2+COUNTIF($I5:$T5,"△〜◯")*1.5+COUNTIF($I5:$T5,"△")*1+COUNTIF($I5:$T5,"×〜△")*0.5</f>
        <v/>
      </c>
      <c r="AO5" s="17">
        <f>COUNTIF($I5:$T5,"◯")+COUNTIF($I5:$T5,"△〜◯")+COUNTIF($I5:$T5,"△")+COUNTIF($I5:$T5,"×〜△")+COUNTIF($I5:$T5,"×")</f>
        <v/>
      </c>
      <c r="AP5" s="17">
        <f>COUNTIF($I5:$T5,"×")</f>
        <v/>
      </c>
      <c r="AQ5" s="17">
        <f>COUNTIF($I5,"×")+COUNTIF($J5,"×")+COUNTIF($L5,"×")+COUNTIF($O5,"×")</f>
        <v/>
      </c>
    </row>
    <row r="6">
      <c r="A6" s="12" t="n">
        <v>2</v>
      </c>
      <c r="B6" s="12" t="inlineStr">
        <is>
          <t>尾形工業株式会社</t>
        </is>
      </c>
      <c r="C6" s="13" t="inlineStr">
        <is>
          <t>左官工事。マンション・ビルの補修／断面修復が約70%、一般住宅の漆喰・珪藻土塗りが約30%。自社職人33名</t>
        </is>
      </c>
      <c r="D6" s="12" t="inlineStr">
        <is>
          <t>NG業種7カテゴリ</t>
        </is>
      </c>
      <c r="E6" s="14" t="n">
        <v>60</v>
      </c>
      <c r="F6" s="14" t="n">
        <v>24.1</v>
      </c>
      <c r="G6" s="15">
        <f>IF(OR($E6="",$F6="",$AH6="",$AI6="",$F6&lt;=0),"",($E6-($AH6-$AI6))/$F6)</f>
        <v/>
      </c>
      <c r="H6" s="14" t="n">
        <v>774</v>
      </c>
      <c r="I6" s="16" t="inlineStr">
        <is>
          <t>×</t>
        </is>
      </c>
      <c r="J6" s="16" t="inlineStr">
        <is>
          <t>◯</t>
        </is>
      </c>
      <c r="K6" s="16" t="inlineStr">
        <is>
          <t>×〜△</t>
        </is>
      </c>
      <c r="L6" s="16" t="inlineStr">
        <is>
          <t>◯</t>
        </is>
      </c>
      <c r="M6" s="16" t="inlineStr">
        <is>
          <t>×〜△</t>
        </is>
      </c>
      <c r="N6" s="16" t="inlineStr">
        <is>
          <t>△</t>
        </is>
      </c>
      <c r="O6" s="16" t="inlineStr">
        <is>
          <t>×</t>
        </is>
      </c>
      <c r="P6" s="16" t="inlineStr">
        <is>
          <t>△</t>
        </is>
      </c>
      <c r="Q6" s="16" t="inlineStr">
        <is>
          <t>△〜◯</t>
        </is>
      </c>
      <c r="R6" s="16" t="inlineStr">
        <is>
          <t>×〜△</t>
        </is>
      </c>
      <c r="S6" s="16" t="inlineStr">
        <is>
          <t>－</t>
        </is>
      </c>
      <c r="T6" s="16" t="inlineStr">
        <is>
          <t>△</t>
        </is>
      </c>
      <c r="U6" s="17">
        <f>IF($AO6=0,"",IF($AQ6&gt;0,"C：見送り（Must×）",IF($AP6&gt;=2,"C：見送り（×2件以上）",IF($AO6&lt;6,"B：追加情報を取得",IF(AND($AP6=0,$AN6/($AO6*2)&gt;=0.75),"A：進める","B：追加情報を取得")))))</f>
        <v/>
      </c>
      <c r="V6" s="18">
        <f>IF($AO6=0,"",$AN6/($AO6*2))</f>
        <v/>
      </c>
      <c r="W6" s="17">
        <f>IF($A6="","",COUNTIFS(質問リスト!$A$4:$A$303,$A6,質問リスト!$O$4:$O$303,"&lt;&gt;解決"))</f>
        <v/>
      </c>
      <c r="X6" s="12" t="inlineStr">
        <is>
          <t>見送り</t>
        </is>
      </c>
      <c r="Y6" s="13" t="inlineStr">
        <is>
          <t>見送りの連絡と、今後の案件テーマのすり合わせ</t>
        </is>
      </c>
      <c r="Z6" s="19" t="n">
        <v>46297</v>
      </c>
      <c r="AA6" s="22" t="n"/>
      <c r="AB6" s="13" t="inlineStr">
        <is>
          <t>業種がNG❹（職人依存型の建設工事）。粗利率18.4%、外注費53%。得意先別売上は未開示</t>
        </is>
      </c>
      <c r="AC6" s="13" t="inlineStr">
        <is>
          <t>NG業種に該当し、EV/EBITDAも19.4倍で価格条件を満たさない</t>
        </is>
      </c>
      <c r="AD6" s="19" t="n">
        <v>46293</v>
      </c>
      <c r="AE6" s="12" t="inlineStr">
        <is>
          <t>株式会社maXアドバイザリー</t>
        </is>
      </c>
      <c r="AF6" s="12" t="inlineStr">
        <is>
          <t>稲見様</t>
        </is>
      </c>
      <c r="AG6" s="12" t="inlineStr">
        <is>
          <t>千葉県船橋市</t>
        </is>
      </c>
      <c r="AH6" s="14" t="n">
        <v>-206.9</v>
      </c>
      <c r="AI6" s="14" t="n">
        <v>200.4</v>
      </c>
      <c r="AJ6" s="17">
        <f>IF($H6="","",IF($H6&lt;300,"下限未満（対象外）",IF($H6&gt;3000,"上限超（対象外）","範囲内")))</f>
        <v/>
      </c>
      <c r="AK6" s="15">
        <f>IF(OR($E6="",$F6="",$AH6="",$F6&lt;=0),"",($E6-$AH6)/$F6)</f>
        <v/>
      </c>
      <c r="AL6" s="12" t="inlineStr">
        <is>
          <t>仲介会社資料管理／maX</t>
        </is>
      </c>
      <c r="AM6" s="13" t="inlineStr">
        <is>
          <t>IMに第三者公表を控える旨の記載あり。外部共有時は注意</t>
        </is>
      </c>
      <c r="AN6" s="21">
        <f>COUNTIF($I6:$T6,"◯")*2+COUNTIF($I6:$T6,"△〜◯")*1.5+COUNTIF($I6:$T6,"△")*1+COUNTIF($I6:$T6,"×〜△")*0.5</f>
        <v/>
      </c>
      <c r="AO6" s="17">
        <f>COUNTIF($I6:$T6,"◯")+COUNTIF($I6:$T6,"△〜◯")+COUNTIF($I6:$T6,"△")+COUNTIF($I6:$T6,"×〜△")+COUNTIF($I6:$T6,"×")</f>
        <v/>
      </c>
      <c r="AP6" s="17">
        <f>COUNTIF($I6:$T6,"×")</f>
        <v/>
      </c>
      <c r="AQ6" s="17">
        <f>COUNTIF($I6,"×")+COUNTIF($J6,"×")+COUNTIF($L6,"×")+COUNTIF($O6,"×")</f>
        <v/>
      </c>
    </row>
    <row r="7">
      <c r="A7" s="12" t="n">
        <v>3</v>
      </c>
      <c r="B7" s="12" t="inlineStr">
        <is>
          <t>株式会社SAMOEDO'S</t>
        </is>
      </c>
      <c r="C7" s="13" t="inlineStr">
        <is>
          <t>犬とのふれあいを提供する体験型ペットサービス7店舗（札幌・仙台・大阪・岡山・広島・福岡2）。社員16名＋アルバイト84名</t>
        </is>
      </c>
      <c r="D7" s="12" t="inlineStr">
        <is>
          <t>その他</t>
        </is>
      </c>
      <c r="E7" s="14" t="n">
        <v>555.4</v>
      </c>
      <c r="F7" s="14" t="n">
        <v>185.1</v>
      </c>
      <c r="G7" s="15">
        <f>IF(OR($E7="",$F7="",$AH7="",$AI7="",$F7&lt;=0),"",($E7-($AH7-$AI7))/$F7)</f>
        <v/>
      </c>
      <c r="H7" s="14" t="n">
        <v>423.9</v>
      </c>
      <c r="I7" s="16" t="inlineStr">
        <is>
          <t>△</t>
        </is>
      </c>
      <c r="J7" s="16" t="inlineStr">
        <is>
          <t>×〜△</t>
        </is>
      </c>
      <c r="K7" s="16" t="inlineStr">
        <is>
          <t>◯</t>
        </is>
      </c>
      <c r="L7" s="16" t="inlineStr">
        <is>
          <t>×〜△</t>
        </is>
      </c>
      <c r="M7" s="16" t="inlineStr">
        <is>
          <t>△〜◯</t>
        </is>
      </c>
      <c r="N7" s="16" t="inlineStr">
        <is>
          <t>△</t>
        </is>
      </c>
      <c r="O7" s="16" t="inlineStr">
        <is>
          <t>◯</t>
        </is>
      </c>
      <c r="P7" s="16" t="inlineStr">
        <is>
          <t>×〜△</t>
        </is>
      </c>
      <c r="Q7" s="16" t="inlineStr">
        <is>
          <t>×</t>
        </is>
      </c>
      <c r="R7" s="16" t="inlineStr">
        <is>
          <t>×〜△</t>
        </is>
      </c>
      <c r="S7" s="16" t="inlineStr">
        <is>
          <t>－</t>
        </is>
      </c>
      <c r="T7" s="16" t="inlineStr">
        <is>
          <t>×〜△</t>
        </is>
      </c>
      <c r="U7" s="17">
        <f>IF($AO7=0,"",IF($AQ7&gt;0,"C：見送り（Must×）",IF($AP7&gt;=2,"C：見送り（×2件以上）",IF($AO7&lt;6,"B：追加情報を取得",IF(AND($AP7=0,$AN7/($AO7*2)&gt;=0.75),"A：進める","B：追加情報を取得")))))</f>
        <v/>
      </c>
      <c r="V7" s="18">
        <f>IF($AO7=0,"",$AN7/($AO7*2))</f>
        <v/>
      </c>
      <c r="W7" s="17">
        <f>IF($A7="","",COUNTIFS(質問リスト!$A$4:$A$303,$A7,質問リスト!$O$4:$O$303,"&lt;&gt;解決"))</f>
        <v/>
      </c>
      <c r="X7" s="12" t="inlineStr">
        <is>
          <t>追加情報待ち</t>
        </is>
      </c>
      <c r="Y7" s="13" t="inlineStr">
        <is>
          <t>質問リスト12項目を送付し、意向表明期限の延長可否を確認</t>
        </is>
      </c>
      <c r="Z7" s="19" t="n">
        <v>46298</v>
      </c>
      <c r="AA7" s="19" t="n">
        <v>46295</v>
      </c>
      <c r="AB7" s="13" t="inlineStr">
        <is>
          <t>倍率3.0倍・非キャッシュ性資産0.9倍で価格と資産は◯。業種はチェーン展開かつ動物で通常の飲食と毛色が違うため△（代表判断）。残る論点は業歴2期・ブーム依存(8-2×)・本部長不在の運営体制</t>
        </is>
      </c>
      <c r="AC7" s="20" t="n"/>
      <c r="AD7" s="19" t="n">
        <v>46268</v>
      </c>
      <c r="AE7" s="12" t="inlineStr">
        <is>
          <t>株式会社Anyglo</t>
        </is>
      </c>
      <c r="AF7" s="12" t="inlineStr">
        <is>
          <t>尾仲様・室伏様</t>
        </is>
      </c>
      <c r="AG7" s="12" t="inlineStr">
        <is>
          <t>東京都品川区</t>
        </is>
      </c>
      <c r="AH7" s="14" t="n">
        <v>0</v>
      </c>
      <c r="AI7" s="14" t="n">
        <v>6.6</v>
      </c>
      <c r="AJ7" s="17">
        <f>IF($H7="","",IF($H7&lt;300,"下限未満（対象外）",IF($H7&gt;3000,"上限超（対象外）","範囲内")))</f>
        <v/>
      </c>
      <c r="AK7" s="15">
        <f>IF(OR($E7="",$F7="",$AH7="",$F7&lt;=0),"",($E7-$AH7)/$F7)</f>
        <v/>
      </c>
      <c r="AL7" s="12" t="inlineStr">
        <is>
          <t>仲介会社資料管理／Anyglo</t>
        </is>
      </c>
      <c r="AM7" s="13" t="inlineStr">
        <is>
          <t>NNシート8/17受領・企業概要書9/3。意向表明期限が9月で実質期限切れ間近。両資料に第三者公表を控える旨の記載あり</t>
        </is>
      </c>
      <c r="AN7" s="21">
        <f>COUNTIF($I7:$T7,"◯")*2+COUNTIF($I7:$T7,"△〜◯")*1.5+COUNTIF($I7:$T7,"△")*1+COUNTIF($I7:$T7,"×〜△")*0.5</f>
        <v/>
      </c>
      <c r="AO7" s="17">
        <f>COUNTIF($I7:$T7,"◯")+COUNTIF($I7:$T7,"△〜◯")+COUNTIF($I7:$T7,"△")+COUNTIF($I7:$T7,"×〜△")+COUNTIF($I7:$T7,"×")</f>
        <v/>
      </c>
      <c r="AP7" s="17">
        <f>COUNTIF($I7:$T7,"×")</f>
        <v/>
      </c>
      <c r="AQ7" s="17">
        <f>COUNTIF($I7,"×")+COUNTIF($J7,"×")+COUNTIF($L7,"×")+COUNTIF($O7,"×")</f>
        <v/>
      </c>
    </row>
    <row r="8">
      <c r="A8" s="23" t="n"/>
      <c r="B8" s="23" t="n"/>
      <c r="C8" s="20" t="n"/>
      <c r="D8" s="23" t="n"/>
      <c r="E8" s="24" t="n"/>
      <c r="F8" s="24" t="n"/>
      <c r="G8" s="15">
        <f>IF(OR($E8="",$F8="",$AH8="",$AI8="",$F8&lt;=0),"",($E8-($AH8-$AI8))/$F8)</f>
        <v/>
      </c>
      <c r="H8" s="24" t="n"/>
      <c r="I8" s="25" t="n"/>
      <c r="J8" s="25" t="n"/>
      <c r="K8" s="25" t="n"/>
      <c r="L8" s="25" t="n"/>
      <c r="M8" s="25" t="n"/>
      <c r="N8" s="25" t="n"/>
      <c r="O8" s="25" t="n"/>
      <c r="P8" s="25" t="n"/>
      <c r="Q8" s="25" t="n"/>
      <c r="R8" s="25" t="n"/>
      <c r="S8" s="25" t="n"/>
      <c r="T8" s="25" t="n"/>
      <c r="U8" s="17">
        <f>IF($AO8=0,"",IF($AQ8&gt;0,"C：見送り（Must×）",IF($AP8&gt;=2,"C：見送り（×2件以上）",IF($AO8&lt;6,"B：追加情報を取得",IF(AND($AP8=0,$AN8/($AO8*2)&gt;=0.75),"A：進める","B：追加情報を取得")))))</f>
        <v/>
      </c>
      <c r="V8" s="18">
        <f>IF($AO8=0,"",$AN8/($AO8*2))</f>
        <v/>
      </c>
      <c r="W8" s="17">
        <f>IF($A8="","",COUNTIFS(質問リスト!$A$4:$A$303,$A8,質問リスト!$O$4:$O$303,"&lt;&gt;解決"))</f>
        <v/>
      </c>
      <c r="X8" s="23" t="n"/>
      <c r="Y8" s="20" t="n"/>
      <c r="Z8" s="22" t="n"/>
      <c r="AA8" s="22" t="n"/>
      <c r="AB8" s="20" t="n"/>
      <c r="AC8" s="20" t="n"/>
      <c r="AD8" s="22" t="n"/>
      <c r="AE8" s="23" t="n"/>
      <c r="AF8" s="23" t="n"/>
      <c r="AG8" s="23" t="n"/>
      <c r="AH8" s="24" t="n"/>
      <c r="AI8" s="24" t="n"/>
      <c r="AJ8" s="17">
        <f>IF($H8="","",IF($H8&lt;300,"下限未満（対象外）",IF($H8&gt;3000,"上限超（対象外）","範囲内")))</f>
        <v/>
      </c>
      <c r="AK8" s="15">
        <f>IF(OR($E8="",$F8="",$AH8="",$F8&lt;=0),"",($E8-$AH8)/$F8)</f>
        <v/>
      </c>
      <c r="AL8" s="23" t="n"/>
      <c r="AM8" s="20" t="n"/>
      <c r="AN8" s="21">
        <f>COUNTIF($I8:$T8,"◯")*2+COUNTIF($I8:$T8,"△〜◯")*1.5+COUNTIF($I8:$T8,"△")*1+COUNTIF($I8:$T8,"×〜△")*0.5</f>
        <v/>
      </c>
      <c r="AO8" s="17">
        <f>COUNTIF($I8:$T8,"◯")+COUNTIF($I8:$T8,"△〜◯")+COUNTIF($I8:$T8,"△")+COUNTIF($I8:$T8,"×〜△")+COUNTIF($I8:$T8,"×")</f>
        <v/>
      </c>
      <c r="AP8" s="17">
        <f>COUNTIF($I8:$T8,"×")</f>
        <v/>
      </c>
      <c r="AQ8" s="17">
        <f>COUNTIF($I8,"×")+COUNTIF($J8,"×")+COUNTIF($L8,"×")+COUNTIF($O8,"×")</f>
        <v/>
      </c>
    </row>
    <row r="9">
      <c r="A9" s="23" t="n"/>
      <c r="B9" s="23" t="n"/>
      <c r="C9" s="20" t="n"/>
      <c r="D9" s="23" t="n"/>
      <c r="E9" s="24" t="n"/>
      <c r="F9" s="24" t="n"/>
      <c r="G9" s="15">
        <f>IF(OR($E9="",$F9="",$AH9="",$AI9="",$F9&lt;=0),"",($E9-($AH9-$AI9))/$F9)</f>
        <v/>
      </c>
      <c r="H9" s="24" t="n"/>
      <c r="I9" s="25" t="n"/>
      <c r="J9" s="25" t="n"/>
      <c r="K9" s="25" t="n"/>
      <c r="L9" s="25" t="n"/>
      <c r="M9" s="25" t="n"/>
      <c r="N9" s="25" t="n"/>
      <c r="O9" s="25" t="n"/>
      <c r="P9" s="25" t="n"/>
      <c r="Q9" s="25" t="n"/>
      <c r="R9" s="25" t="n"/>
      <c r="S9" s="25" t="n"/>
      <c r="T9" s="25" t="n"/>
      <c r="U9" s="17">
        <f>IF($AO9=0,"",IF($AQ9&gt;0,"C：見送り（Must×）",IF($AP9&gt;=2,"C：見送り（×2件以上）",IF($AO9&lt;6,"B：追加情報を取得",IF(AND($AP9=0,$AN9/($AO9*2)&gt;=0.75),"A：進める","B：追加情報を取得")))))</f>
        <v/>
      </c>
      <c r="V9" s="18">
        <f>IF($AO9=0,"",$AN9/($AO9*2))</f>
        <v/>
      </c>
      <c r="W9" s="17">
        <f>IF($A9="","",COUNTIFS(質問リスト!$A$4:$A$303,$A9,質問リスト!$O$4:$O$303,"&lt;&gt;解決"))</f>
        <v/>
      </c>
      <c r="X9" s="23" t="n"/>
      <c r="Y9" s="20" t="n"/>
      <c r="Z9" s="22" t="n"/>
      <c r="AA9" s="22" t="n"/>
      <c r="AB9" s="20" t="n"/>
      <c r="AC9" s="20" t="n"/>
      <c r="AD9" s="22" t="n"/>
      <c r="AE9" s="23" t="n"/>
      <c r="AF9" s="23" t="n"/>
      <c r="AG9" s="23" t="n"/>
      <c r="AH9" s="24" t="n"/>
      <c r="AI9" s="24" t="n"/>
      <c r="AJ9" s="17">
        <f>IF($H9="","",IF($H9&lt;300,"下限未満（対象外）",IF($H9&gt;3000,"上限超（対象外）","範囲内")))</f>
        <v/>
      </c>
      <c r="AK9" s="15">
        <f>IF(OR($E9="",$F9="",$AH9="",$F9&lt;=0),"",($E9-$AH9)/$F9)</f>
        <v/>
      </c>
      <c r="AL9" s="23" t="n"/>
      <c r="AM9" s="20" t="n"/>
      <c r="AN9" s="21">
        <f>COUNTIF($I9:$T9,"◯")*2+COUNTIF($I9:$T9,"△〜◯")*1.5+COUNTIF($I9:$T9,"△")*1+COUNTIF($I9:$T9,"×〜△")*0.5</f>
        <v/>
      </c>
      <c r="AO9" s="17">
        <f>COUNTIF($I9:$T9,"◯")+COUNTIF($I9:$T9,"△〜◯")+COUNTIF($I9:$T9,"△")+COUNTIF($I9:$T9,"×〜△")+COUNTIF($I9:$T9,"×")</f>
        <v/>
      </c>
      <c r="AP9" s="17">
        <f>COUNTIF($I9:$T9,"×")</f>
        <v/>
      </c>
      <c r="AQ9" s="17">
        <f>COUNTIF($I9,"×")+COUNTIF($J9,"×")+COUNTIF($L9,"×")+COUNTIF($O9,"×")</f>
        <v/>
      </c>
    </row>
    <row r="10">
      <c r="A10" s="23" t="n"/>
      <c r="B10" s="23" t="n"/>
      <c r="C10" s="20" t="n"/>
      <c r="D10" s="23" t="n"/>
      <c r="E10" s="24" t="n"/>
      <c r="F10" s="24" t="n"/>
      <c r="G10" s="15">
        <f>IF(OR($E10="",$F10="",$AH10="",$AI10="",$F10&lt;=0),"",($E10-($AH10-$AI10))/$F10)</f>
        <v/>
      </c>
      <c r="H10" s="24" t="n"/>
      <c r="I10" s="25" t="n"/>
      <c r="J10" s="25" t="n"/>
      <c r="K10" s="25" t="n"/>
      <c r="L10" s="25" t="n"/>
      <c r="M10" s="25" t="n"/>
      <c r="N10" s="25" t="n"/>
      <c r="O10" s="25" t="n"/>
      <c r="P10" s="25" t="n"/>
      <c r="Q10" s="25" t="n"/>
      <c r="R10" s="25" t="n"/>
      <c r="S10" s="25" t="n"/>
      <c r="T10" s="25" t="n"/>
      <c r="U10" s="17">
        <f>IF($AO10=0,"",IF($AQ10&gt;0,"C：見送り（Must×）",IF($AP10&gt;=2,"C：見送り（×2件以上）",IF($AO10&lt;6,"B：追加情報を取得",IF(AND($AP10=0,$AN10/($AO10*2)&gt;=0.75),"A：進める","B：追加情報を取得")))))</f>
        <v/>
      </c>
      <c r="V10" s="18">
        <f>IF($AO10=0,"",$AN10/($AO10*2))</f>
        <v/>
      </c>
      <c r="W10" s="17">
        <f>IF($A10="","",COUNTIFS(質問リスト!$A$4:$A$303,$A10,質問リスト!$O$4:$O$303,"&lt;&gt;解決"))</f>
        <v/>
      </c>
      <c r="X10" s="23" t="n"/>
      <c r="Y10" s="20" t="n"/>
      <c r="Z10" s="22" t="n"/>
      <c r="AA10" s="22" t="n"/>
      <c r="AB10" s="20" t="n"/>
      <c r="AC10" s="20" t="n"/>
      <c r="AD10" s="22" t="n"/>
      <c r="AE10" s="23" t="n"/>
      <c r="AF10" s="23" t="n"/>
      <c r="AG10" s="23" t="n"/>
      <c r="AH10" s="24" t="n"/>
      <c r="AI10" s="24" t="n"/>
      <c r="AJ10" s="17">
        <f>IF($H10="","",IF($H10&lt;300,"下限未満（対象外）",IF($H10&gt;3000,"上限超（対象外）","範囲内")))</f>
        <v/>
      </c>
      <c r="AK10" s="15">
        <f>IF(OR($E10="",$F10="",$AH10="",$F10&lt;=0),"",($E10-$AH10)/$F10)</f>
        <v/>
      </c>
      <c r="AL10" s="23" t="n"/>
      <c r="AM10" s="20" t="n"/>
      <c r="AN10" s="21">
        <f>COUNTIF($I10:$T10,"◯")*2+COUNTIF($I10:$T10,"△〜◯")*1.5+COUNTIF($I10:$T10,"△")*1+COUNTIF($I10:$T10,"×〜△")*0.5</f>
        <v/>
      </c>
      <c r="AO10" s="17">
        <f>COUNTIF($I10:$T10,"◯")+COUNTIF($I10:$T10,"△〜◯")+COUNTIF($I10:$T10,"△")+COUNTIF($I10:$T10,"×〜△")+COUNTIF($I10:$T10,"×")</f>
        <v/>
      </c>
      <c r="AP10" s="17">
        <f>COUNTIF($I10:$T10,"×")</f>
        <v/>
      </c>
      <c r="AQ10" s="17">
        <f>COUNTIF($I10,"×")+COUNTIF($J10,"×")+COUNTIF($L10,"×")+COUNTIF($O10,"×")</f>
        <v/>
      </c>
    </row>
    <row r="11">
      <c r="A11" s="23" t="n"/>
      <c r="B11" s="23" t="n"/>
      <c r="C11" s="20" t="n"/>
      <c r="D11" s="23" t="n"/>
      <c r="E11" s="24" t="n"/>
      <c r="F11" s="24" t="n"/>
      <c r="G11" s="15">
        <f>IF(OR($E11="",$F11="",$AH11="",$AI11="",$F11&lt;=0),"",($E11-($AH11-$AI11))/$F11)</f>
        <v/>
      </c>
      <c r="H11" s="24" t="n"/>
      <c r="I11" s="25" t="n"/>
      <c r="J11" s="25" t="n"/>
      <c r="K11" s="25" t="n"/>
      <c r="L11" s="25" t="n"/>
      <c r="M11" s="25" t="n"/>
      <c r="N11" s="25" t="n"/>
      <c r="O11" s="25" t="n"/>
      <c r="P11" s="25" t="n"/>
      <c r="Q11" s="25" t="n"/>
      <c r="R11" s="25" t="n"/>
      <c r="S11" s="25" t="n"/>
      <c r="T11" s="25" t="n"/>
      <c r="U11" s="17">
        <f>IF($AO11=0,"",IF($AQ11&gt;0,"C：見送り（Must×）",IF($AP11&gt;=2,"C：見送り（×2件以上）",IF($AO11&lt;6,"B：追加情報を取得",IF(AND($AP11=0,$AN11/($AO11*2)&gt;=0.75),"A：進める","B：追加情報を取得")))))</f>
        <v/>
      </c>
      <c r="V11" s="18">
        <f>IF($AO11=0,"",$AN11/($AO11*2))</f>
        <v/>
      </c>
      <c r="W11" s="17">
        <f>IF($A11="","",COUNTIFS(質問リスト!$A$4:$A$303,$A11,質問リスト!$O$4:$O$303,"&lt;&gt;解決"))</f>
        <v/>
      </c>
      <c r="X11" s="23" t="n"/>
      <c r="Y11" s="20" t="n"/>
      <c r="Z11" s="22" t="n"/>
      <c r="AA11" s="22" t="n"/>
      <c r="AB11" s="20" t="n"/>
      <c r="AC11" s="20" t="n"/>
      <c r="AD11" s="22" t="n"/>
      <c r="AE11" s="23" t="n"/>
      <c r="AF11" s="23" t="n"/>
      <c r="AG11" s="23" t="n"/>
      <c r="AH11" s="24" t="n"/>
      <c r="AI11" s="24" t="n"/>
      <c r="AJ11" s="17">
        <f>IF($H11="","",IF($H11&lt;300,"下限未満（対象外）",IF($H11&gt;3000,"上限超（対象外）","範囲内")))</f>
        <v/>
      </c>
      <c r="AK11" s="15">
        <f>IF(OR($E11="",$F11="",$AH11="",$F11&lt;=0),"",($E11-$AH11)/$F11)</f>
        <v/>
      </c>
      <c r="AL11" s="23" t="n"/>
      <c r="AM11" s="20" t="n"/>
      <c r="AN11" s="21">
        <f>COUNTIF($I11:$T11,"◯")*2+COUNTIF($I11:$T11,"△〜◯")*1.5+COUNTIF($I11:$T11,"△")*1+COUNTIF($I11:$T11,"×〜△")*0.5</f>
        <v/>
      </c>
      <c r="AO11" s="17">
        <f>COUNTIF($I11:$T11,"◯")+COUNTIF($I11:$T11,"△〜◯")+COUNTIF($I11:$T11,"△")+COUNTIF($I11:$T11,"×〜△")+COUNTIF($I11:$T11,"×")</f>
        <v/>
      </c>
      <c r="AP11" s="17">
        <f>COUNTIF($I11:$T11,"×")</f>
        <v/>
      </c>
      <c r="AQ11" s="17">
        <f>COUNTIF($I11,"×")+COUNTIF($J11,"×")+COUNTIF($L11,"×")+COUNTIF($O11,"×")</f>
        <v/>
      </c>
    </row>
    <row r="12">
      <c r="A12" s="23" t="n"/>
      <c r="B12" s="23" t="n"/>
      <c r="C12" s="20" t="n"/>
      <c r="D12" s="23" t="n"/>
      <c r="E12" s="24" t="n"/>
      <c r="F12" s="24" t="n"/>
      <c r="G12" s="15">
        <f>IF(OR($E12="",$F12="",$AH12="",$AI12="",$F12&lt;=0),"",($E12-($AH12-$AI12))/$F12)</f>
        <v/>
      </c>
      <c r="H12" s="24" t="n"/>
      <c r="I12" s="25" t="n"/>
      <c r="J12" s="25" t="n"/>
      <c r="K12" s="25" t="n"/>
      <c r="L12" s="25" t="n"/>
      <c r="M12" s="25" t="n"/>
      <c r="N12" s="25" t="n"/>
      <c r="O12" s="25" t="n"/>
      <c r="P12" s="25" t="n"/>
      <c r="Q12" s="25" t="n"/>
      <c r="R12" s="25" t="n"/>
      <c r="S12" s="25" t="n"/>
      <c r="T12" s="25" t="n"/>
      <c r="U12" s="17">
        <f>IF($AO12=0,"",IF($AQ12&gt;0,"C：見送り（Must×）",IF($AP12&gt;=2,"C：見送り（×2件以上）",IF($AO12&lt;6,"B：追加情報を取得",IF(AND($AP12=0,$AN12/($AO12*2)&gt;=0.75),"A：進める","B：追加情報を取得")))))</f>
        <v/>
      </c>
      <c r="V12" s="18">
        <f>IF($AO12=0,"",$AN12/($AO12*2))</f>
        <v/>
      </c>
      <c r="W12" s="17">
        <f>IF($A12="","",COUNTIFS(質問リスト!$A$4:$A$303,$A12,質問リスト!$O$4:$O$303,"&lt;&gt;解決"))</f>
        <v/>
      </c>
      <c r="X12" s="23" t="n"/>
      <c r="Y12" s="20" t="n"/>
      <c r="Z12" s="22" t="n"/>
      <c r="AA12" s="22" t="n"/>
      <c r="AB12" s="20" t="n"/>
      <c r="AC12" s="20" t="n"/>
      <c r="AD12" s="22" t="n"/>
      <c r="AE12" s="23" t="n"/>
      <c r="AF12" s="23" t="n"/>
      <c r="AG12" s="23" t="n"/>
      <c r="AH12" s="24" t="n"/>
      <c r="AI12" s="24" t="n"/>
      <c r="AJ12" s="17">
        <f>IF($H12="","",IF($H12&lt;300,"下限未満（対象外）",IF($H12&gt;3000,"上限超（対象外）","範囲内")))</f>
        <v/>
      </c>
      <c r="AK12" s="15">
        <f>IF(OR($E12="",$F12="",$AH12="",$F12&lt;=0),"",($E12-$AH12)/$F12)</f>
        <v/>
      </c>
      <c r="AL12" s="23" t="n"/>
      <c r="AM12" s="20" t="n"/>
      <c r="AN12" s="21">
        <f>COUNTIF($I12:$T12,"◯")*2+COUNTIF($I12:$T12,"△〜◯")*1.5+COUNTIF($I12:$T12,"△")*1+COUNTIF($I12:$T12,"×〜△")*0.5</f>
        <v/>
      </c>
      <c r="AO12" s="17">
        <f>COUNTIF($I12:$T12,"◯")+COUNTIF($I12:$T12,"△〜◯")+COUNTIF($I12:$T12,"△")+COUNTIF($I12:$T12,"×〜△")+COUNTIF($I12:$T12,"×")</f>
        <v/>
      </c>
      <c r="AP12" s="17">
        <f>COUNTIF($I12:$T12,"×")</f>
        <v/>
      </c>
      <c r="AQ12" s="17">
        <f>COUNTIF($I12,"×")+COUNTIF($J12,"×")+COUNTIF($L12,"×")+COUNTIF($O12,"×")</f>
        <v/>
      </c>
    </row>
    <row r="13">
      <c r="A13" s="23" t="n"/>
      <c r="B13" s="23" t="n"/>
      <c r="C13" s="20" t="n"/>
      <c r="D13" s="23" t="n"/>
      <c r="E13" s="24" t="n"/>
      <c r="F13" s="24" t="n"/>
      <c r="G13" s="15">
        <f>IF(OR($E13="",$F13="",$AH13="",$AI13="",$F13&lt;=0),"",($E13-($AH13-$AI13))/$F13)</f>
        <v/>
      </c>
      <c r="H13" s="24" t="n"/>
      <c r="I13" s="25" t="n"/>
      <c r="J13" s="25" t="n"/>
      <c r="K13" s="25" t="n"/>
      <c r="L13" s="25" t="n"/>
      <c r="M13" s="25" t="n"/>
      <c r="N13" s="25" t="n"/>
      <c r="O13" s="25" t="n"/>
      <c r="P13" s="25" t="n"/>
      <c r="Q13" s="25" t="n"/>
      <c r="R13" s="25" t="n"/>
      <c r="S13" s="25" t="n"/>
      <c r="T13" s="25" t="n"/>
      <c r="U13" s="17">
        <f>IF($AO13=0,"",IF($AQ13&gt;0,"C：見送り（Must×）",IF($AP13&gt;=2,"C：見送り（×2件以上）",IF($AO13&lt;6,"B：追加情報を取得",IF(AND($AP13=0,$AN13/($AO13*2)&gt;=0.75),"A：進める","B：追加情報を取得")))))</f>
        <v/>
      </c>
      <c r="V13" s="18">
        <f>IF($AO13=0,"",$AN13/($AO13*2))</f>
        <v/>
      </c>
      <c r="W13" s="17">
        <f>IF($A13="","",COUNTIFS(質問リスト!$A$4:$A$303,$A13,質問リスト!$O$4:$O$303,"&lt;&gt;解決"))</f>
        <v/>
      </c>
      <c r="X13" s="23" t="n"/>
      <c r="Y13" s="20" t="n"/>
      <c r="Z13" s="22" t="n"/>
      <c r="AA13" s="22" t="n"/>
      <c r="AB13" s="20" t="n"/>
      <c r="AC13" s="20" t="n"/>
      <c r="AD13" s="22" t="n"/>
      <c r="AE13" s="23" t="n"/>
      <c r="AF13" s="23" t="n"/>
      <c r="AG13" s="23" t="n"/>
      <c r="AH13" s="24" t="n"/>
      <c r="AI13" s="24" t="n"/>
      <c r="AJ13" s="17">
        <f>IF($H13="","",IF($H13&lt;300,"下限未満（対象外）",IF($H13&gt;3000,"上限超（対象外）","範囲内")))</f>
        <v/>
      </c>
      <c r="AK13" s="15">
        <f>IF(OR($E13="",$F13="",$AH13="",$F13&lt;=0),"",($E13-$AH13)/$F13)</f>
        <v/>
      </c>
      <c r="AL13" s="23" t="n"/>
      <c r="AM13" s="20" t="n"/>
      <c r="AN13" s="21">
        <f>COUNTIF($I13:$T13,"◯")*2+COUNTIF($I13:$T13,"△〜◯")*1.5+COUNTIF($I13:$T13,"△")*1+COUNTIF($I13:$T13,"×〜△")*0.5</f>
        <v/>
      </c>
      <c r="AO13" s="17">
        <f>COUNTIF($I13:$T13,"◯")+COUNTIF($I13:$T13,"△〜◯")+COUNTIF($I13:$T13,"△")+COUNTIF($I13:$T13,"×〜△")+COUNTIF($I13:$T13,"×")</f>
        <v/>
      </c>
      <c r="AP13" s="17">
        <f>COUNTIF($I13:$T13,"×")</f>
        <v/>
      </c>
      <c r="AQ13" s="17">
        <f>COUNTIF($I13,"×")+COUNTIF($J13,"×")+COUNTIF($L13,"×")+COUNTIF($O13,"×")</f>
        <v/>
      </c>
    </row>
    <row r="14">
      <c r="A14" s="23" t="n"/>
      <c r="B14" s="23" t="n"/>
      <c r="C14" s="20" t="n"/>
      <c r="D14" s="23" t="n"/>
      <c r="E14" s="24" t="n"/>
      <c r="F14" s="24" t="n"/>
      <c r="G14" s="15">
        <f>IF(OR($E14="",$F14="",$AH14="",$AI14="",$F14&lt;=0),"",($E14-($AH14-$AI14))/$F14)</f>
        <v/>
      </c>
      <c r="H14" s="24" t="n"/>
      <c r="I14" s="25" t="n"/>
      <c r="J14" s="25" t="n"/>
      <c r="K14" s="25" t="n"/>
      <c r="L14" s="25" t="n"/>
      <c r="M14" s="25" t="n"/>
      <c r="N14" s="25" t="n"/>
      <c r="O14" s="25" t="n"/>
      <c r="P14" s="25" t="n"/>
      <c r="Q14" s="25" t="n"/>
      <c r="R14" s="25" t="n"/>
      <c r="S14" s="25" t="n"/>
      <c r="T14" s="25" t="n"/>
      <c r="U14" s="17">
        <f>IF($AO14=0,"",IF($AQ14&gt;0,"C：見送り（Must×）",IF($AP14&gt;=2,"C：見送り（×2件以上）",IF($AO14&lt;6,"B：追加情報を取得",IF(AND($AP14=0,$AN14/($AO14*2)&gt;=0.75),"A：進める","B：追加情報を取得")))))</f>
        <v/>
      </c>
      <c r="V14" s="18">
        <f>IF($AO14=0,"",$AN14/($AO14*2))</f>
        <v/>
      </c>
      <c r="W14" s="17">
        <f>IF($A14="","",COUNTIFS(質問リスト!$A$4:$A$303,$A14,質問リスト!$O$4:$O$303,"&lt;&gt;解決"))</f>
        <v/>
      </c>
      <c r="X14" s="23" t="n"/>
      <c r="Y14" s="20" t="n"/>
      <c r="Z14" s="22" t="n"/>
      <c r="AA14" s="22" t="n"/>
      <c r="AB14" s="20" t="n"/>
      <c r="AC14" s="20" t="n"/>
      <c r="AD14" s="22" t="n"/>
      <c r="AE14" s="23" t="n"/>
      <c r="AF14" s="23" t="n"/>
      <c r="AG14" s="23" t="n"/>
      <c r="AH14" s="24" t="n"/>
      <c r="AI14" s="24" t="n"/>
      <c r="AJ14" s="17">
        <f>IF($H14="","",IF($H14&lt;300,"下限未満（対象外）",IF($H14&gt;3000,"上限超（対象外）","範囲内")))</f>
        <v/>
      </c>
      <c r="AK14" s="15">
        <f>IF(OR($E14="",$F14="",$AH14="",$F14&lt;=0),"",($E14-$AH14)/$F14)</f>
        <v/>
      </c>
      <c r="AL14" s="23" t="n"/>
      <c r="AM14" s="20" t="n"/>
      <c r="AN14" s="21">
        <f>COUNTIF($I14:$T14,"◯")*2+COUNTIF($I14:$T14,"△〜◯")*1.5+COUNTIF($I14:$T14,"△")*1+COUNTIF($I14:$T14,"×〜△")*0.5</f>
        <v/>
      </c>
      <c r="AO14" s="17">
        <f>COUNTIF($I14:$T14,"◯")+COUNTIF($I14:$T14,"△〜◯")+COUNTIF($I14:$T14,"△")+COUNTIF($I14:$T14,"×〜△")+COUNTIF($I14:$T14,"×")</f>
        <v/>
      </c>
      <c r="AP14" s="17">
        <f>COUNTIF($I14:$T14,"×")</f>
        <v/>
      </c>
      <c r="AQ14" s="17">
        <f>COUNTIF($I14,"×")+COUNTIF($J14,"×")+COUNTIF($L14,"×")+COUNTIF($O14,"×")</f>
        <v/>
      </c>
    </row>
    <row r="15">
      <c r="A15" s="23" t="n"/>
      <c r="B15" s="23" t="n"/>
      <c r="C15" s="20" t="n"/>
      <c r="D15" s="23" t="n"/>
      <c r="E15" s="24" t="n"/>
      <c r="F15" s="24" t="n"/>
      <c r="G15" s="15">
        <f>IF(OR($E15="",$F15="",$AH15="",$AI15="",$F15&lt;=0),"",($E15-($AH15-$AI15))/$F15)</f>
        <v/>
      </c>
      <c r="H15" s="24" t="n"/>
      <c r="I15" s="25" t="n"/>
      <c r="J15" s="25" t="n"/>
      <c r="K15" s="25" t="n"/>
      <c r="L15" s="25" t="n"/>
      <c r="M15" s="25" t="n"/>
      <c r="N15" s="25" t="n"/>
      <c r="O15" s="25" t="n"/>
      <c r="P15" s="25" t="n"/>
      <c r="Q15" s="25" t="n"/>
      <c r="R15" s="25" t="n"/>
      <c r="S15" s="25" t="n"/>
      <c r="T15" s="25" t="n"/>
      <c r="U15" s="17">
        <f>IF($AO15=0,"",IF($AQ15&gt;0,"C：見送り（Must×）",IF($AP15&gt;=2,"C：見送り（×2件以上）",IF($AO15&lt;6,"B：追加情報を取得",IF(AND($AP15=0,$AN15/($AO15*2)&gt;=0.75),"A：進める","B：追加情報を取得")))))</f>
        <v/>
      </c>
      <c r="V15" s="18">
        <f>IF($AO15=0,"",$AN15/($AO15*2))</f>
        <v/>
      </c>
      <c r="W15" s="17">
        <f>IF($A15="","",COUNTIFS(質問リスト!$A$4:$A$303,$A15,質問リスト!$O$4:$O$303,"&lt;&gt;解決"))</f>
        <v/>
      </c>
      <c r="X15" s="23" t="n"/>
      <c r="Y15" s="20" t="n"/>
      <c r="Z15" s="22" t="n"/>
      <c r="AA15" s="22" t="n"/>
      <c r="AB15" s="20" t="n"/>
      <c r="AC15" s="20" t="n"/>
      <c r="AD15" s="22" t="n"/>
      <c r="AE15" s="23" t="n"/>
      <c r="AF15" s="23" t="n"/>
      <c r="AG15" s="23" t="n"/>
      <c r="AH15" s="24" t="n"/>
      <c r="AI15" s="24" t="n"/>
      <c r="AJ15" s="17">
        <f>IF($H15="","",IF($H15&lt;300,"下限未満（対象外）",IF($H15&gt;3000,"上限超（対象外）","範囲内")))</f>
        <v/>
      </c>
      <c r="AK15" s="15">
        <f>IF(OR($E15="",$F15="",$AH15="",$F15&lt;=0),"",($E15-$AH15)/$F15)</f>
        <v/>
      </c>
      <c r="AL15" s="23" t="n"/>
      <c r="AM15" s="20" t="n"/>
      <c r="AN15" s="21">
        <f>COUNTIF($I15:$T15,"◯")*2+COUNTIF($I15:$T15,"△〜◯")*1.5+COUNTIF($I15:$T15,"△")*1+COUNTIF($I15:$T15,"×〜△")*0.5</f>
        <v/>
      </c>
      <c r="AO15" s="17">
        <f>COUNTIF($I15:$T15,"◯")+COUNTIF($I15:$T15,"△〜◯")+COUNTIF($I15:$T15,"△")+COUNTIF($I15:$T15,"×〜△")+COUNTIF($I15:$T15,"×")</f>
        <v/>
      </c>
      <c r="AP15" s="17">
        <f>COUNTIF($I15:$T15,"×")</f>
        <v/>
      </c>
      <c r="AQ15" s="17">
        <f>COUNTIF($I15,"×")+COUNTIF($J15,"×")+COUNTIF($L15,"×")+COUNTIF($O15,"×")</f>
        <v/>
      </c>
    </row>
    <row r="16">
      <c r="A16" s="23" t="n"/>
      <c r="B16" s="23" t="n"/>
      <c r="C16" s="20" t="n"/>
      <c r="D16" s="23" t="n"/>
      <c r="E16" s="24" t="n"/>
      <c r="F16" s="24" t="n"/>
      <c r="G16" s="15">
        <f>IF(OR($E16="",$F16="",$AH16="",$AI16="",$F16&lt;=0),"",($E16-($AH16-$AI16))/$F16)</f>
        <v/>
      </c>
      <c r="H16" s="24" t="n"/>
      <c r="I16" s="25" t="n"/>
      <c r="J16" s="25" t="n"/>
      <c r="K16" s="25" t="n"/>
      <c r="L16" s="25" t="n"/>
      <c r="M16" s="25" t="n"/>
      <c r="N16" s="25" t="n"/>
      <c r="O16" s="25" t="n"/>
      <c r="P16" s="25" t="n"/>
      <c r="Q16" s="25" t="n"/>
      <c r="R16" s="25" t="n"/>
      <c r="S16" s="25" t="n"/>
      <c r="T16" s="25" t="n"/>
      <c r="U16" s="17">
        <f>IF($AO16=0,"",IF($AQ16&gt;0,"C：見送り（Must×）",IF($AP16&gt;=2,"C：見送り（×2件以上）",IF($AO16&lt;6,"B：追加情報を取得",IF(AND($AP16=0,$AN16/($AO16*2)&gt;=0.75),"A：進める","B：追加情報を取得")))))</f>
        <v/>
      </c>
      <c r="V16" s="18">
        <f>IF($AO16=0,"",$AN16/($AO16*2))</f>
        <v/>
      </c>
      <c r="W16" s="17">
        <f>IF($A16="","",COUNTIFS(質問リスト!$A$4:$A$303,$A16,質問リスト!$O$4:$O$303,"&lt;&gt;解決"))</f>
        <v/>
      </c>
      <c r="X16" s="23" t="n"/>
      <c r="Y16" s="20" t="n"/>
      <c r="Z16" s="22" t="n"/>
      <c r="AA16" s="22" t="n"/>
      <c r="AB16" s="20" t="n"/>
      <c r="AC16" s="20" t="n"/>
      <c r="AD16" s="22" t="n"/>
      <c r="AE16" s="23" t="n"/>
      <c r="AF16" s="23" t="n"/>
      <c r="AG16" s="23" t="n"/>
      <c r="AH16" s="24" t="n"/>
      <c r="AI16" s="24" t="n"/>
      <c r="AJ16" s="17">
        <f>IF($H16="","",IF($H16&lt;300,"下限未満（対象外）",IF($H16&gt;3000,"上限超（対象外）","範囲内")))</f>
        <v/>
      </c>
      <c r="AK16" s="15">
        <f>IF(OR($E16="",$F16="",$AH16="",$F16&lt;=0),"",($E16-$AH16)/$F16)</f>
        <v/>
      </c>
      <c r="AL16" s="23" t="n"/>
      <c r="AM16" s="20" t="n"/>
      <c r="AN16" s="21">
        <f>COUNTIF($I16:$T16,"◯")*2+COUNTIF($I16:$T16,"△〜◯")*1.5+COUNTIF($I16:$T16,"△")*1+COUNTIF($I16:$T16,"×〜△")*0.5</f>
        <v/>
      </c>
      <c r="AO16" s="17">
        <f>COUNTIF($I16:$T16,"◯")+COUNTIF($I16:$T16,"△〜◯")+COUNTIF($I16:$T16,"△")+COUNTIF($I16:$T16,"×〜△")+COUNTIF($I16:$T16,"×")</f>
        <v/>
      </c>
      <c r="AP16" s="17">
        <f>COUNTIF($I16:$T16,"×")</f>
        <v/>
      </c>
      <c r="AQ16" s="17">
        <f>COUNTIF($I16,"×")+COUNTIF($J16,"×")+COUNTIF($L16,"×")+COUNTIF($O16,"×")</f>
        <v/>
      </c>
    </row>
    <row r="17">
      <c r="A17" s="23" t="n"/>
      <c r="B17" s="23" t="n"/>
      <c r="C17" s="20" t="n"/>
      <c r="D17" s="23" t="n"/>
      <c r="E17" s="24" t="n"/>
      <c r="F17" s="24" t="n"/>
      <c r="G17" s="15">
        <f>IF(OR($E17="",$F17="",$AH17="",$AI17="",$F17&lt;=0),"",($E17-($AH17-$AI17))/$F17)</f>
        <v/>
      </c>
      <c r="H17" s="24" t="n"/>
      <c r="I17" s="25" t="n"/>
      <c r="J17" s="25" t="n"/>
      <c r="K17" s="25" t="n"/>
      <c r="L17" s="25" t="n"/>
      <c r="M17" s="25" t="n"/>
      <c r="N17" s="25" t="n"/>
      <c r="O17" s="25" t="n"/>
      <c r="P17" s="25" t="n"/>
      <c r="Q17" s="25" t="n"/>
      <c r="R17" s="25" t="n"/>
      <c r="S17" s="25" t="n"/>
      <c r="T17" s="25" t="n"/>
      <c r="U17" s="17">
        <f>IF($AO17=0,"",IF($AQ17&gt;0,"C：見送り（Must×）",IF($AP17&gt;=2,"C：見送り（×2件以上）",IF($AO17&lt;6,"B：追加情報を取得",IF(AND($AP17=0,$AN17/($AO17*2)&gt;=0.75),"A：進める","B：追加情報を取得")))))</f>
        <v/>
      </c>
      <c r="V17" s="18">
        <f>IF($AO17=0,"",$AN17/($AO17*2))</f>
        <v/>
      </c>
      <c r="W17" s="17">
        <f>IF($A17="","",COUNTIFS(質問リスト!$A$4:$A$303,$A17,質問リスト!$O$4:$O$303,"&lt;&gt;解決"))</f>
        <v/>
      </c>
      <c r="X17" s="23" t="n"/>
      <c r="Y17" s="20" t="n"/>
      <c r="Z17" s="22" t="n"/>
      <c r="AA17" s="22" t="n"/>
      <c r="AB17" s="20" t="n"/>
      <c r="AC17" s="20" t="n"/>
      <c r="AD17" s="22" t="n"/>
      <c r="AE17" s="23" t="n"/>
      <c r="AF17" s="23" t="n"/>
      <c r="AG17" s="23" t="n"/>
      <c r="AH17" s="24" t="n"/>
      <c r="AI17" s="24" t="n"/>
      <c r="AJ17" s="17">
        <f>IF($H17="","",IF($H17&lt;300,"下限未満（対象外）",IF($H17&gt;3000,"上限超（対象外）","範囲内")))</f>
        <v/>
      </c>
      <c r="AK17" s="15">
        <f>IF(OR($E17="",$F17="",$AH17="",$F17&lt;=0),"",($E17-$AH17)/$F17)</f>
        <v/>
      </c>
      <c r="AL17" s="23" t="n"/>
      <c r="AM17" s="20" t="n"/>
      <c r="AN17" s="21">
        <f>COUNTIF($I17:$T17,"◯")*2+COUNTIF($I17:$T17,"△〜◯")*1.5+COUNTIF($I17:$T17,"△")*1+COUNTIF($I17:$T17,"×〜△")*0.5</f>
        <v/>
      </c>
      <c r="AO17" s="17">
        <f>COUNTIF($I17:$T17,"◯")+COUNTIF($I17:$T17,"△〜◯")+COUNTIF($I17:$T17,"△")+COUNTIF($I17:$T17,"×〜△")+COUNTIF($I17:$T17,"×")</f>
        <v/>
      </c>
      <c r="AP17" s="17">
        <f>COUNTIF($I17:$T17,"×")</f>
        <v/>
      </c>
      <c r="AQ17" s="17">
        <f>COUNTIF($I17,"×")+COUNTIF($J17,"×")+COUNTIF($L17,"×")+COUNTIF($O17,"×")</f>
        <v/>
      </c>
    </row>
    <row r="18">
      <c r="A18" s="23" t="n"/>
      <c r="B18" s="23" t="n"/>
      <c r="C18" s="20" t="n"/>
      <c r="D18" s="23" t="n"/>
      <c r="E18" s="24" t="n"/>
      <c r="F18" s="24" t="n"/>
      <c r="G18" s="15">
        <f>IF(OR($E18="",$F18="",$AH18="",$AI18="",$F18&lt;=0),"",($E18-($AH18-$AI18))/$F18)</f>
        <v/>
      </c>
      <c r="H18" s="24" t="n"/>
      <c r="I18" s="25" t="n"/>
      <c r="J18" s="25" t="n"/>
      <c r="K18" s="25" t="n"/>
      <c r="L18" s="25" t="n"/>
      <c r="M18" s="25" t="n"/>
      <c r="N18" s="25" t="n"/>
      <c r="O18" s="25" t="n"/>
      <c r="P18" s="25" t="n"/>
      <c r="Q18" s="25" t="n"/>
      <c r="R18" s="25" t="n"/>
      <c r="S18" s="25" t="n"/>
      <c r="T18" s="25" t="n"/>
      <c r="U18" s="17">
        <f>IF($AO18=0,"",IF($AQ18&gt;0,"C：見送り（Must×）",IF($AP18&gt;=2,"C：見送り（×2件以上）",IF($AO18&lt;6,"B：追加情報を取得",IF(AND($AP18=0,$AN18/($AO18*2)&gt;=0.75),"A：進める","B：追加情報を取得")))))</f>
        <v/>
      </c>
      <c r="V18" s="18">
        <f>IF($AO18=0,"",$AN18/($AO18*2))</f>
        <v/>
      </c>
      <c r="W18" s="17">
        <f>IF($A18="","",COUNTIFS(質問リスト!$A$4:$A$303,$A18,質問リスト!$O$4:$O$303,"&lt;&gt;解決"))</f>
        <v/>
      </c>
      <c r="X18" s="23" t="n"/>
      <c r="Y18" s="20" t="n"/>
      <c r="Z18" s="22" t="n"/>
      <c r="AA18" s="22" t="n"/>
      <c r="AB18" s="20" t="n"/>
      <c r="AC18" s="20" t="n"/>
      <c r="AD18" s="22" t="n"/>
      <c r="AE18" s="23" t="n"/>
      <c r="AF18" s="23" t="n"/>
      <c r="AG18" s="23" t="n"/>
      <c r="AH18" s="24" t="n"/>
      <c r="AI18" s="24" t="n"/>
      <c r="AJ18" s="17">
        <f>IF($H18="","",IF($H18&lt;300,"下限未満（対象外）",IF($H18&gt;3000,"上限超（対象外）","範囲内")))</f>
        <v/>
      </c>
      <c r="AK18" s="15">
        <f>IF(OR($E18="",$F18="",$AH18="",$F18&lt;=0),"",($E18-$AH18)/$F18)</f>
        <v/>
      </c>
      <c r="AL18" s="23" t="n"/>
      <c r="AM18" s="20" t="n"/>
      <c r="AN18" s="21">
        <f>COUNTIF($I18:$T18,"◯")*2+COUNTIF($I18:$T18,"△〜◯")*1.5+COUNTIF($I18:$T18,"△")*1+COUNTIF($I18:$T18,"×〜△")*0.5</f>
        <v/>
      </c>
      <c r="AO18" s="17">
        <f>COUNTIF($I18:$T18,"◯")+COUNTIF($I18:$T18,"△〜◯")+COUNTIF($I18:$T18,"△")+COUNTIF($I18:$T18,"×〜△")+COUNTIF($I18:$T18,"×")</f>
        <v/>
      </c>
      <c r="AP18" s="17">
        <f>COUNTIF($I18:$T18,"×")</f>
        <v/>
      </c>
      <c r="AQ18" s="17">
        <f>COUNTIF($I18,"×")+COUNTIF($J18,"×")+COUNTIF($L18,"×")+COUNTIF($O18,"×")</f>
        <v/>
      </c>
    </row>
    <row r="19">
      <c r="A19" s="23" t="n"/>
      <c r="B19" s="23" t="n"/>
      <c r="C19" s="20" t="n"/>
      <c r="D19" s="23" t="n"/>
      <c r="E19" s="24" t="n"/>
      <c r="F19" s="24" t="n"/>
      <c r="G19" s="15">
        <f>IF(OR($E19="",$F19="",$AH19="",$AI19="",$F19&lt;=0),"",($E19-($AH19-$AI19))/$F19)</f>
        <v/>
      </c>
      <c r="H19" s="24" t="n"/>
      <c r="I19" s="25" t="n"/>
      <c r="J19" s="25" t="n"/>
      <c r="K19" s="25" t="n"/>
      <c r="L19" s="25" t="n"/>
      <c r="M19" s="25" t="n"/>
      <c r="N19" s="25" t="n"/>
      <c r="O19" s="25" t="n"/>
      <c r="P19" s="25" t="n"/>
      <c r="Q19" s="25" t="n"/>
      <c r="R19" s="25" t="n"/>
      <c r="S19" s="25" t="n"/>
      <c r="T19" s="25" t="n"/>
      <c r="U19" s="17">
        <f>IF($AO19=0,"",IF($AQ19&gt;0,"C：見送り（Must×）",IF($AP19&gt;=2,"C：見送り（×2件以上）",IF($AO19&lt;6,"B：追加情報を取得",IF(AND($AP19=0,$AN19/($AO19*2)&gt;=0.75),"A：進める","B：追加情報を取得")))))</f>
        <v/>
      </c>
      <c r="V19" s="18">
        <f>IF($AO19=0,"",$AN19/($AO19*2))</f>
        <v/>
      </c>
      <c r="W19" s="17">
        <f>IF($A19="","",COUNTIFS(質問リスト!$A$4:$A$303,$A19,質問リスト!$O$4:$O$303,"&lt;&gt;解決"))</f>
        <v/>
      </c>
      <c r="X19" s="23" t="n"/>
      <c r="Y19" s="20" t="n"/>
      <c r="Z19" s="22" t="n"/>
      <c r="AA19" s="22" t="n"/>
      <c r="AB19" s="20" t="n"/>
      <c r="AC19" s="20" t="n"/>
      <c r="AD19" s="22" t="n"/>
      <c r="AE19" s="23" t="n"/>
      <c r="AF19" s="23" t="n"/>
      <c r="AG19" s="23" t="n"/>
      <c r="AH19" s="24" t="n"/>
      <c r="AI19" s="24" t="n"/>
      <c r="AJ19" s="17">
        <f>IF($H19="","",IF($H19&lt;300,"下限未満（対象外）",IF($H19&gt;3000,"上限超（対象外）","範囲内")))</f>
        <v/>
      </c>
      <c r="AK19" s="15">
        <f>IF(OR($E19="",$F19="",$AH19="",$F19&lt;=0),"",($E19-$AH19)/$F19)</f>
        <v/>
      </c>
      <c r="AL19" s="23" t="n"/>
      <c r="AM19" s="20" t="n"/>
      <c r="AN19" s="21">
        <f>COUNTIF($I19:$T19,"◯")*2+COUNTIF($I19:$T19,"△〜◯")*1.5+COUNTIF($I19:$T19,"△")*1+COUNTIF($I19:$T19,"×〜△")*0.5</f>
        <v/>
      </c>
      <c r="AO19" s="17">
        <f>COUNTIF($I19:$T19,"◯")+COUNTIF($I19:$T19,"△〜◯")+COUNTIF($I19:$T19,"△")+COUNTIF($I19:$T19,"×〜△")+COUNTIF($I19:$T19,"×")</f>
        <v/>
      </c>
      <c r="AP19" s="17">
        <f>COUNTIF($I19:$T19,"×")</f>
        <v/>
      </c>
      <c r="AQ19" s="17">
        <f>COUNTIF($I19,"×")+COUNTIF($J19,"×")+COUNTIF($L19,"×")+COUNTIF($O19,"×")</f>
        <v/>
      </c>
    </row>
    <row r="20">
      <c r="A20" s="23" t="n"/>
      <c r="B20" s="23" t="n"/>
      <c r="C20" s="20" t="n"/>
      <c r="D20" s="23" t="n"/>
      <c r="E20" s="24" t="n"/>
      <c r="F20" s="24" t="n"/>
      <c r="G20" s="15">
        <f>IF(OR($E20="",$F20="",$AH20="",$AI20="",$F20&lt;=0),"",($E20-($AH20-$AI20))/$F20)</f>
        <v/>
      </c>
      <c r="H20" s="24" t="n"/>
      <c r="I20" s="25" t="n"/>
      <c r="J20" s="25" t="n"/>
      <c r="K20" s="25" t="n"/>
      <c r="L20" s="25" t="n"/>
      <c r="M20" s="25" t="n"/>
      <c r="N20" s="25" t="n"/>
      <c r="O20" s="25" t="n"/>
      <c r="P20" s="25" t="n"/>
      <c r="Q20" s="25" t="n"/>
      <c r="R20" s="25" t="n"/>
      <c r="S20" s="25" t="n"/>
      <c r="T20" s="25" t="n"/>
      <c r="U20" s="17">
        <f>IF($AO20=0,"",IF($AQ20&gt;0,"C：見送り（Must×）",IF($AP20&gt;=2,"C：見送り（×2件以上）",IF($AO20&lt;6,"B：追加情報を取得",IF(AND($AP20=0,$AN20/($AO20*2)&gt;=0.75),"A：進める","B：追加情報を取得")))))</f>
        <v/>
      </c>
      <c r="V20" s="18">
        <f>IF($AO20=0,"",$AN20/($AO20*2))</f>
        <v/>
      </c>
      <c r="W20" s="17">
        <f>IF($A20="","",COUNTIFS(質問リスト!$A$4:$A$303,$A20,質問リスト!$O$4:$O$303,"&lt;&gt;解決"))</f>
        <v/>
      </c>
      <c r="X20" s="23" t="n"/>
      <c r="Y20" s="20" t="n"/>
      <c r="Z20" s="22" t="n"/>
      <c r="AA20" s="22" t="n"/>
      <c r="AB20" s="20" t="n"/>
      <c r="AC20" s="20" t="n"/>
      <c r="AD20" s="22" t="n"/>
      <c r="AE20" s="23" t="n"/>
      <c r="AF20" s="23" t="n"/>
      <c r="AG20" s="23" t="n"/>
      <c r="AH20" s="24" t="n"/>
      <c r="AI20" s="24" t="n"/>
      <c r="AJ20" s="17">
        <f>IF($H20="","",IF($H20&lt;300,"下限未満（対象外）",IF($H20&gt;3000,"上限超（対象外）","範囲内")))</f>
        <v/>
      </c>
      <c r="AK20" s="15">
        <f>IF(OR($E20="",$F20="",$AH20="",$F20&lt;=0),"",($E20-$AH20)/$F20)</f>
        <v/>
      </c>
      <c r="AL20" s="23" t="n"/>
      <c r="AM20" s="20" t="n"/>
      <c r="AN20" s="21">
        <f>COUNTIF($I20:$T20,"◯")*2+COUNTIF($I20:$T20,"△〜◯")*1.5+COUNTIF($I20:$T20,"△")*1+COUNTIF($I20:$T20,"×〜△")*0.5</f>
        <v/>
      </c>
      <c r="AO20" s="17">
        <f>COUNTIF($I20:$T20,"◯")+COUNTIF($I20:$T20,"△〜◯")+COUNTIF($I20:$T20,"△")+COUNTIF($I20:$T20,"×〜△")+COUNTIF($I20:$T20,"×")</f>
        <v/>
      </c>
      <c r="AP20" s="17">
        <f>COUNTIF($I20:$T20,"×")</f>
        <v/>
      </c>
      <c r="AQ20" s="17">
        <f>COUNTIF($I20,"×")+COUNTIF($J20,"×")+COUNTIF($L20,"×")+COUNTIF($O20,"×")</f>
        <v/>
      </c>
    </row>
    <row r="21">
      <c r="A21" s="23" t="n"/>
      <c r="B21" s="23" t="n"/>
      <c r="C21" s="20" t="n"/>
      <c r="D21" s="23" t="n"/>
      <c r="E21" s="24" t="n"/>
      <c r="F21" s="24" t="n"/>
      <c r="G21" s="15">
        <f>IF(OR($E21="",$F21="",$AH21="",$AI21="",$F21&lt;=0),"",($E21-($AH21-$AI21))/$F21)</f>
        <v/>
      </c>
      <c r="H21" s="24" t="n"/>
      <c r="I21" s="25" t="n"/>
      <c r="J21" s="25" t="n"/>
      <c r="K21" s="25" t="n"/>
      <c r="L21" s="25" t="n"/>
      <c r="M21" s="25" t="n"/>
      <c r="N21" s="25" t="n"/>
      <c r="O21" s="25" t="n"/>
      <c r="P21" s="25" t="n"/>
      <c r="Q21" s="25" t="n"/>
      <c r="R21" s="25" t="n"/>
      <c r="S21" s="25" t="n"/>
      <c r="T21" s="25" t="n"/>
      <c r="U21" s="17">
        <f>IF($AO21=0,"",IF($AQ21&gt;0,"C：見送り（Must×）",IF($AP21&gt;=2,"C：見送り（×2件以上）",IF($AO21&lt;6,"B：追加情報を取得",IF(AND($AP21=0,$AN21/($AO21*2)&gt;=0.75),"A：進める","B：追加情報を取得")))))</f>
        <v/>
      </c>
      <c r="V21" s="18">
        <f>IF($AO21=0,"",$AN21/($AO21*2))</f>
        <v/>
      </c>
      <c r="W21" s="17">
        <f>IF($A21="","",COUNTIFS(質問リスト!$A$4:$A$303,$A21,質問リスト!$O$4:$O$303,"&lt;&gt;解決"))</f>
        <v/>
      </c>
      <c r="X21" s="23" t="n"/>
      <c r="Y21" s="20" t="n"/>
      <c r="Z21" s="22" t="n"/>
      <c r="AA21" s="22" t="n"/>
      <c r="AB21" s="20" t="n"/>
      <c r="AC21" s="20" t="n"/>
      <c r="AD21" s="22" t="n"/>
      <c r="AE21" s="23" t="n"/>
      <c r="AF21" s="23" t="n"/>
      <c r="AG21" s="23" t="n"/>
      <c r="AH21" s="24" t="n"/>
      <c r="AI21" s="24" t="n"/>
      <c r="AJ21" s="17">
        <f>IF($H21="","",IF($H21&lt;300,"下限未満（対象外）",IF($H21&gt;3000,"上限超（対象外）","範囲内")))</f>
        <v/>
      </c>
      <c r="AK21" s="15">
        <f>IF(OR($E21="",$F21="",$AH21="",$F21&lt;=0),"",($E21-$AH21)/$F21)</f>
        <v/>
      </c>
      <c r="AL21" s="23" t="n"/>
      <c r="AM21" s="20" t="n"/>
      <c r="AN21" s="21">
        <f>COUNTIF($I21:$T21,"◯")*2+COUNTIF($I21:$T21,"△〜◯")*1.5+COUNTIF($I21:$T21,"△")*1+COUNTIF($I21:$T21,"×〜△")*0.5</f>
        <v/>
      </c>
      <c r="AO21" s="17">
        <f>COUNTIF($I21:$T21,"◯")+COUNTIF($I21:$T21,"△〜◯")+COUNTIF($I21:$T21,"△")+COUNTIF($I21:$T21,"×〜△")+COUNTIF($I21:$T21,"×")</f>
        <v/>
      </c>
      <c r="AP21" s="17">
        <f>COUNTIF($I21:$T21,"×")</f>
        <v/>
      </c>
      <c r="AQ21" s="17">
        <f>COUNTIF($I21,"×")+COUNTIF($J21,"×")+COUNTIF($L21,"×")+COUNTIF($O21,"×")</f>
        <v/>
      </c>
    </row>
    <row r="22">
      <c r="A22" s="23" t="n"/>
      <c r="B22" s="23" t="n"/>
      <c r="C22" s="20" t="n"/>
      <c r="D22" s="23" t="n"/>
      <c r="E22" s="24" t="n"/>
      <c r="F22" s="24" t="n"/>
      <c r="G22" s="15">
        <f>IF(OR($E22="",$F22="",$AH22="",$AI22="",$F22&lt;=0),"",($E22-($AH22-$AI22))/$F22)</f>
        <v/>
      </c>
      <c r="H22" s="24" t="n"/>
      <c r="I22" s="25" t="n"/>
      <c r="J22" s="25" t="n"/>
      <c r="K22" s="25" t="n"/>
      <c r="L22" s="25" t="n"/>
      <c r="M22" s="25" t="n"/>
      <c r="N22" s="25" t="n"/>
      <c r="O22" s="25" t="n"/>
      <c r="P22" s="25" t="n"/>
      <c r="Q22" s="25" t="n"/>
      <c r="R22" s="25" t="n"/>
      <c r="S22" s="25" t="n"/>
      <c r="T22" s="25" t="n"/>
      <c r="U22" s="17">
        <f>IF($AO22=0,"",IF($AQ22&gt;0,"C：見送り（Must×）",IF($AP22&gt;=2,"C：見送り（×2件以上）",IF($AO22&lt;6,"B：追加情報を取得",IF(AND($AP22=0,$AN22/($AO22*2)&gt;=0.75),"A：進める","B：追加情報を取得")))))</f>
        <v/>
      </c>
      <c r="V22" s="18">
        <f>IF($AO22=0,"",$AN22/($AO22*2))</f>
        <v/>
      </c>
      <c r="W22" s="17">
        <f>IF($A22="","",COUNTIFS(質問リスト!$A$4:$A$303,$A22,質問リスト!$O$4:$O$303,"&lt;&gt;解決"))</f>
        <v/>
      </c>
      <c r="X22" s="23" t="n"/>
      <c r="Y22" s="20" t="n"/>
      <c r="Z22" s="22" t="n"/>
      <c r="AA22" s="22" t="n"/>
      <c r="AB22" s="20" t="n"/>
      <c r="AC22" s="20" t="n"/>
      <c r="AD22" s="22" t="n"/>
      <c r="AE22" s="23" t="n"/>
      <c r="AF22" s="23" t="n"/>
      <c r="AG22" s="23" t="n"/>
      <c r="AH22" s="24" t="n"/>
      <c r="AI22" s="24" t="n"/>
      <c r="AJ22" s="17">
        <f>IF($H22="","",IF($H22&lt;300,"下限未満（対象外）",IF($H22&gt;3000,"上限超（対象外）","範囲内")))</f>
        <v/>
      </c>
      <c r="AK22" s="15">
        <f>IF(OR($E22="",$F22="",$AH22="",$F22&lt;=0),"",($E22-$AH22)/$F22)</f>
        <v/>
      </c>
      <c r="AL22" s="23" t="n"/>
      <c r="AM22" s="20" t="n"/>
      <c r="AN22" s="21">
        <f>COUNTIF($I22:$T22,"◯")*2+COUNTIF($I22:$T22,"△〜◯")*1.5+COUNTIF($I22:$T22,"△")*1+COUNTIF($I22:$T22,"×〜△")*0.5</f>
        <v/>
      </c>
      <c r="AO22" s="17">
        <f>COUNTIF($I22:$T22,"◯")+COUNTIF($I22:$T22,"△〜◯")+COUNTIF($I22:$T22,"△")+COUNTIF($I22:$T22,"×〜△")+COUNTIF($I22:$T22,"×")</f>
        <v/>
      </c>
      <c r="AP22" s="17">
        <f>COUNTIF($I22:$T22,"×")</f>
        <v/>
      </c>
      <c r="AQ22" s="17">
        <f>COUNTIF($I22,"×")+COUNTIF($J22,"×")+COUNTIF($L22,"×")+COUNTIF($O22,"×")</f>
        <v/>
      </c>
    </row>
    <row r="23">
      <c r="A23" s="23" t="n"/>
      <c r="B23" s="23" t="n"/>
      <c r="C23" s="20" t="n"/>
      <c r="D23" s="23" t="n"/>
      <c r="E23" s="24" t="n"/>
      <c r="F23" s="24" t="n"/>
      <c r="G23" s="15">
        <f>IF(OR($E23="",$F23="",$AH23="",$AI23="",$F23&lt;=0),"",($E23-($AH23-$AI23))/$F23)</f>
        <v/>
      </c>
      <c r="H23" s="24" t="n"/>
      <c r="I23" s="25" t="n"/>
      <c r="J23" s="25" t="n"/>
      <c r="K23" s="25" t="n"/>
      <c r="L23" s="25" t="n"/>
      <c r="M23" s="25" t="n"/>
      <c r="N23" s="25" t="n"/>
      <c r="O23" s="25" t="n"/>
      <c r="P23" s="25" t="n"/>
      <c r="Q23" s="25" t="n"/>
      <c r="R23" s="25" t="n"/>
      <c r="S23" s="25" t="n"/>
      <c r="T23" s="25" t="n"/>
      <c r="U23" s="17">
        <f>IF($AO23=0,"",IF($AQ23&gt;0,"C：見送り（Must×）",IF($AP23&gt;=2,"C：見送り（×2件以上）",IF($AO23&lt;6,"B：追加情報を取得",IF(AND($AP23=0,$AN23/($AO23*2)&gt;=0.75),"A：進める","B：追加情報を取得")))))</f>
        <v/>
      </c>
      <c r="V23" s="18">
        <f>IF($AO23=0,"",$AN23/($AO23*2))</f>
        <v/>
      </c>
      <c r="W23" s="17">
        <f>IF($A23="","",COUNTIFS(質問リスト!$A$4:$A$303,$A23,質問リスト!$O$4:$O$303,"&lt;&gt;解決"))</f>
        <v/>
      </c>
      <c r="X23" s="23" t="n"/>
      <c r="Y23" s="20" t="n"/>
      <c r="Z23" s="22" t="n"/>
      <c r="AA23" s="22" t="n"/>
      <c r="AB23" s="20" t="n"/>
      <c r="AC23" s="20" t="n"/>
      <c r="AD23" s="22" t="n"/>
      <c r="AE23" s="23" t="n"/>
      <c r="AF23" s="23" t="n"/>
      <c r="AG23" s="23" t="n"/>
      <c r="AH23" s="24" t="n"/>
      <c r="AI23" s="24" t="n"/>
      <c r="AJ23" s="17">
        <f>IF($H23="","",IF($H23&lt;300,"下限未満（対象外）",IF($H23&gt;3000,"上限超（対象外）","範囲内")))</f>
        <v/>
      </c>
      <c r="AK23" s="15">
        <f>IF(OR($E23="",$F23="",$AH23="",$F23&lt;=0),"",($E23-$AH23)/$F23)</f>
        <v/>
      </c>
      <c r="AL23" s="23" t="n"/>
      <c r="AM23" s="20" t="n"/>
      <c r="AN23" s="21">
        <f>COUNTIF($I23:$T23,"◯")*2+COUNTIF($I23:$T23,"△〜◯")*1.5+COUNTIF($I23:$T23,"△")*1+COUNTIF($I23:$T23,"×〜△")*0.5</f>
        <v/>
      </c>
      <c r="AO23" s="17">
        <f>COUNTIF($I23:$T23,"◯")+COUNTIF($I23:$T23,"△〜◯")+COUNTIF($I23:$T23,"△")+COUNTIF($I23:$T23,"×〜△")+COUNTIF($I23:$T23,"×")</f>
        <v/>
      </c>
      <c r="AP23" s="17">
        <f>COUNTIF($I23:$T23,"×")</f>
        <v/>
      </c>
      <c r="AQ23" s="17">
        <f>COUNTIF($I23,"×")+COUNTIF($J23,"×")+COUNTIF($L23,"×")+COUNTIF($O23,"×")</f>
        <v/>
      </c>
    </row>
    <row r="24">
      <c r="A24" s="23" t="n"/>
      <c r="B24" s="23" t="n"/>
      <c r="C24" s="20" t="n"/>
      <c r="D24" s="23" t="n"/>
      <c r="E24" s="24" t="n"/>
      <c r="F24" s="24" t="n"/>
      <c r="G24" s="15">
        <f>IF(OR($E24="",$F24="",$AH24="",$AI24="",$F24&lt;=0),"",($E24-($AH24-$AI24))/$F24)</f>
        <v/>
      </c>
      <c r="H24" s="24" t="n"/>
      <c r="I24" s="25" t="n"/>
      <c r="J24" s="25" t="n"/>
      <c r="K24" s="25" t="n"/>
      <c r="L24" s="25" t="n"/>
      <c r="M24" s="25" t="n"/>
      <c r="N24" s="25" t="n"/>
      <c r="O24" s="25" t="n"/>
      <c r="P24" s="25" t="n"/>
      <c r="Q24" s="25" t="n"/>
      <c r="R24" s="25" t="n"/>
      <c r="S24" s="25" t="n"/>
      <c r="T24" s="25" t="n"/>
      <c r="U24" s="17">
        <f>IF($AO24=0,"",IF($AQ24&gt;0,"C：見送り（Must×）",IF($AP24&gt;=2,"C：見送り（×2件以上）",IF($AO24&lt;6,"B：追加情報を取得",IF(AND($AP24=0,$AN24/($AO24*2)&gt;=0.75),"A：進める","B：追加情報を取得")))))</f>
        <v/>
      </c>
      <c r="V24" s="18">
        <f>IF($AO24=0,"",$AN24/($AO24*2))</f>
        <v/>
      </c>
      <c r="W24" s="17">
        <f>IF($A24="","",COUNTIFS(質問リスト!$A$4:$A$303,$A24,質問リスト!$O$4:$O$303,"&lt;&gt;解決"))</f>
        <v/>
      </c>
      <c r="X24" s="23" t="n"/>
      <c r="Y24" s="20" t="n"/>
      <c r="Z24" s="22" t="n"/>
      <c r="AA24" s="22" t="n"/>
      <c r="AB24" s="20" t="n"/>
      <c r="AC24" s="20" t="n"/>
      <c r="AD24" s="22" t="n"/>
      <c r="AE24" s="23" t="n"/>
      <c r="AF24" s="23" t="n"/>
      <c r="AG24" s="23" t="n"/>
      <c r="AH24" s="24" t="n"/>
      <c r="AI24" s="24" t="n"/>
      <c r="AJ24" s="17">
        <f>IF($H24="","",IF($H24&lt;300,"下限未満（対象外）",IF($H24&gt;3000,"上限超（対象外）","範囲内")))</f>
        <v/>
      </c>
      <c r="AK24" s="15">
        <f>IF(OR($E24="",$F24="",$AH24="",$F24&lt;=0),"",($E24-$AH24)/$F24)</f>
        <v/>
      </c>
      <c r="AL24" s="23" t="n"/>
      <c r="AM24" s="20" t="n"/>
      <c r="AN24" s="21">
        <f>COUNTIF($I24:$T24,"◯")*2+COUNTIF($I24:$T24,"△〜◯")*1.5+COUNTIF($I24:$T24,"△")*1+COUNTIF($I24:$T24,"×〜△")*0.5</f>
        <v/>
      </c>
      <c r="AO24" s="17">
        <f>COUNTIF($I24:$T24,"◯")+COUNTIF($I24:$T24,"△〜◯")+COUNTIF($I24:$T24,"△")+COUNTIF($I24:$T24,"×〜△")+COUNTIF($I24:$T24,"×")</f>
        <v/>
      </c>
      <c r="AP24" s="17">
        <f>COUNTIF($I24:$T24,"×")</f>
        <v/>
      </c>
      <c r="AQ24" s="17">
        <f>COUNTIF($I24,"×")+COUNTIF($J24,"×")+COUNTIF($L24,"×")+COUNTIF($O24,"×")</f>
        <v/>
      </c>
    </row>
    <row r="25">
      <c r="A25" s="23" t="n"/>
      <c r="B25" s="23" t="n"/>
      <c r="C25" s="20" t="n"/>
      <c r="D25" s="23" t="n"/>
      <c r="E25" s="24" t="n"/>
      <c r="F25" s="24" t="n"/>
      <c r="G25" s="15">
        <f>IF(OR($E25="",$F25="",$AH25="",$AI25="",$F25&lt;=0),"",($E25-($AH25-$AI25))/$F25)</f>
        <v/>
      </c>
      <c r="H25" s="24" t="n"/>
      <c r="I25" s="25" t="n"/>
      <c r="J25" s="25" t="n"/>
      <c r="K25" s="25" t="n"/>
      <c r="L25" s="25" t="n"/>
      <c r="M25" s="25" t="n"/>
      <c r="N25" s="25" t="n"/>
      <c r="O25" s="25" t="n"/>
      <c r="P25" s="25" t="n"/>
      <c r="Q25" s="25" t="n"/>
      <c r="R25" s="25" t="n"/>
      <c r="S25" s="25" t="n"/>
      <c r="T25" s="25" t="n"/>
      <c r="U25" s="17">
        <f>IF($AO25=0,"",IF($AQ25&gt;0,"C：見送り（Must×）",IF($AP25&gt;=2,"C：見送り（×2件以上）",IF($AO25&lt;6,"B：追加情報を取得",IF(AND($AP25=0,$AN25/($AO25*2)&gt;=0.75),"A：進める","B：追加情報を取得")))))</f>
        <v/>
      </c>
      <c r="V25" s="18">
        <f>IF($AO25=0,"",$AN25/($AO25*2))</f>
        <v/>
      </c>
      <c r="W25" s="17">
        <f>IF($A25="","",COUNTIFS(質問リスト!$A$4:$A$303,$A25,質問リスト!$O$4:$O$303,"&lt;&gt;解決"))</f>
        <v/>
      </c>
      <c r="X25" s="23" t="n"/>
      <c r="Y25" s="20" t="n"/>
      <c r="Z25" s="22" t="n"/>
      <c r="AA25" s="22" t="n"/>
      <c r="AB25" s="20" t="n"/>
      <c r="AC25" s="20" t="n"/>
      <c r="AD25" s="22" t="n"/>
      <c r="AE25" s="23" t="n"/>
      <c r="AF25" s="23" t="n"/>
      <c r="AG25" s="23" t="n"/>
      <c r="AH25" s="24" t="n"/>
      <c r="AI25" s="24" t="n"/>
      <c r="AJ25" s="17">
        <f>IF($H25="","",IF($H25&lt;300,"下限未満（対象外）",IF($H25&gt;3000,"上限超（対象外）","範囲内")))</f>
        <v/>
      </c>
      <c r="AK25" s="15">
        <f>IF(OR($E25="",$F25="",$AH25="",$F25&lt;=0),"",($E25-$AH25)/$F25)</f>
        <v/>
      </c>
      <c r="AL25" s="23" t="n"/>
      <c r="AM25" s="20" t="n"/>
      <c r="AN25" s="21">
        <f>COUNTIF($I25:$T25,"◯")*2+COUNTIF($I25:$T25,"△〜◯")*1.5+COUNTIF($I25:$T25,"△")*1+COUNTIF($I25:$T25,"×〜△")*0.5</f>
        <v/>
      </c>
      <c r="AO25" s="17">
        <f>COUNTIF($I25:$T25,"◯")+COUNTIF($I25:$T25,"△〜◯")+COUNTIF($I25:$T25,"△")+COUNTIF($I25:$T25,"×〜△")+COUNTIF($I25:$T25,"×")</f>
        <v/>
      </c>
      <c r="AP25" s="17">
        <f>COUNTIF($I25:$T25,"×")</f>
        <v/>
      </c>
      <c r="AQ25" s="17">
        <f>COUNTIF($I25,"×")+COUNTIF($J25,"×")+COUNTIF($L25,"×")+COUNTIF($O25,"×")</f>
        <v/>
      </c>
    </row>
    <row r="26">
      <c r="A26" s="23" t="n"/>
      <c r="B26" s="23" t="n"/>
      <c r="C26" s="20" t="n"/>
      <c r="D26" s="23" t="n"/>
      <c r="E26" s="24" t="n"/>
      <c r="F26" s="24" t="n"/>
      <c r="G26" s="15">
        <f>IF(OR($E26="",$F26="",$AH26="",$AI26="",$F26&lt;=0),"",($E26-($AH26-$AI26))/$F26)</f>
        <v/>
      </c>
      <c r="H26" s="24" t="n"/>
      <c r="I26" s="25" t="n"/>
      <c r="J26" s="25" t="n"/>
      <c r="K26" s="25" t="n"/>
      <c r="L26" s="25" t="n"/>
      <c r="M26" s="25" t="n"/>
      <c r="N26" s="25" t="n"/>
      <c r="O26" s="25" t="n"/>
      <c r="P26" s="25" t="n"/>
      <c r="Q26" s="25" t="n"/>
      <c r="R26" s="25" t="n"/>
      <c r="S26" s="25" t="n"/>
      <c r="T26" s="25" t="n"/>
      <c r="U26" s="17">
        <f>IF($AO26=0,"",IF($AQ26&gt;0,"C：見送り（Must×）",IF($AP26&gt;=2,"C：見送り（×2件以上）",IF($AO26&lt;6,"B：追加情報を取得",IF(AND($AP26=0,$AN26/($AO26*2)&gt;=0.75),"A：進める","B：追加情報を取得")))))</f>
        <v/>
      </c>
      <c r="V26" s="18">
        <f>IF($AO26=0,"",$AN26/($AO26*2))</f>
        <v/>
      </c>
      <c r="W26" s="17">
        <f>IF($A26="","",COUNTIFS(質問リスト!$A$4:$A$303,$A26,質問リスト!$O$4:$O$303,"&lt;&gt;解決"))</f>
        <v/>
      </c>
      <c r="X26" s="23" t="n"/>
      <c r="Y26" s="20" t="n"/>
      <c r="Z26" s="22" t="n"/>
      <c r="AA26" s="22" t="n"/>
      <c r="AB26" s="20" t="n"/>
      <c r="AC26" s="20" t="n"/>
      <c r="AD26" s="22" t="n"/>
      <c r="AE26" s="23" t="n"/>
      <c r="AF26" s="23" t="n"/>
      <c r="AG26" s="23" t="n"/>
      <c r="AH26" s="24" t="n"/>
      <c r="AI26" s="24" t="n"/>
      <c r="AJ26" s="17">
        <f>IF($H26="","",IF($H26&lt;300,"下限未満（対象外）",IF($H26&gt;3000,"上限超（対象外）","範囲内")))</f>
        <v/>
      </c>
      <c r="AK26" s="15">
        <f>IF(OR($E26="",$F26="",$AH26="",$F26&lt;=0),"",($E26-$AH26)/$F26)</f>
        <v/>
      </c>
      <c r="AL26" s="23" t="n"/>
      <c r="AM26" s="20" t="n"/>
      <c r="AN26" s="21">
        <f>COUNTIF($I26:$T26,"◯")*2+COUNTIF($I26:$T26,"△〜◯")*1.5+COUNTIF($I26:$T26,"△")*1+COUNTIF($I26:$T26,"×〜△")*0.5</f>
        <v/>
      </c>
      <c r="AO26" s="17">
        <f>COUNTIF($I26:$T26,"◯")+COUNTIF($I26:$T26,"△〜◯")+COUNTIF($I26:$T26,"△")+COUNTIF($I26:$T26,"×〜△")+COUNTIF($I26:$T26,"×")</f>
        <v/>
      </c>
      <c r="AP26" s="17">
        <f>COUNTIF($I26:$T26,"×")</f>
        <v/>
      </c>
      <c r="AQ26" s="17">
        <f>COUNTIF($I26,"×")+COUNTIF($J26,"×")+COUNTIF($L26,"×")+COUNTIF($O26,"×")</f>
        <v/>
      </c>
    </row>
    <row r="27">
      <c r="A27" s="23" t="n"/>
      <c r="B27" s="23" t="n"/>
      <c r="C27" s="20" t="n"/>
      <c r="D27" s="23" t="n"/>
      <c r="E27" s="24" t="n"/>
      <c r="F27" s="24" t="n"/>
      <c r="G27" s="15">
        <f>IF(OR($E27="",$F27="",$AH27="",$AI27="",$F27&lt;=0),"",($E27-($AH27-$AI27))/$F27)</f>
        <v/>
      </c>
      <c r="H27" s="24" t="n"/>
      <c r="I27" s="25" t="n"/>
      <c r="J27" s="25" t="n"/>
      <c r="K27" s="25" t="n"/>
      <c r="L27" s="25" t="n"/>
      <c r="M27" s="25" t="n"/>
      <c r="N27" s="25" t="n"/>
      <c r="O27" s="25" t="n"/>
      <c r="P27" s="25" t="n"/>
      <c r="Q27" s="25" t="n"/>
      <c r="R27" s="25" t="n"/>
      <c r="S27" s="25" t="n"/>
      <c r="T27" s="25" t="n"/>
      <c r="U27" s="17">
        <f>IF($AO27=0,"",IF($AQ27&gt;0,"C：見送り（Must×）",IF($AP27&gt;=2,"C：見送り（×2件以上）",IF($AO27&lt;6,"B：追加情報を取得",IF(AND($AP27=0,$AN27/($AO27*2)&gt;=0.75),"A：進める","B：追加情報を取得")))))</f>
        <v/>
      </c>
      <c r="V27" s="18">
        <f>IF($AO27=0,"",$AN27/($AO27*2))</f>
        <v/>
      </c>
      <c r="W27" s="17">
        <f>IF($A27="","",COUNTIFS(質問リスト!$A$4:$A$303,$A27,質問リスト!$O$4:$O$303,"&lt;&gt;解決"))</f>
        <v/>
      </c>
      <c r="X27" s="23" t="n"/>
      <c r="Y27" s="20" t="n"/>
      <c r="Z27" s="22" t="n"/>
      <c r="AA27" s="22" t="n"/>
      <c r="AB27" s="20" t="n"/>
      <c r="AC27" s="20" t="n"/>
      <c r="AD27" s="22" t="n"/>
      <c r="AE27" s="23" t="n"/>
      <c r="AF27" s="23" t="n"/>
      <c r="AG27" s="23" t="n"/>
      <c r="AH27" s="24" t="n"/>
      <c r="AI27" s="24" t="n"/>
      <c r="AJ27" s="17">
        <f>IF($H27="","",IF($H27&lt;300,"下限未満（対象外）",IF($H27&gt;3000,"上限超（対象外）","範囲内")))</f>
        <v/>
      </c>
      <c r="AK27" s="15">
        <f>IF(OR($E27="",$F27="",$AH27="",$F27&lt;=0),"",($E27-$AH27)/$F27)</f>
        <v/>
      </c>
      <c r="AL27" s="23" t="n"/>
      <c r="AM27" s="20" t="n"/>
      <c r="AN27" s="21">
        <f>COUNTIF($I27:$T27,"◯")*2+COUNTIF($I27:$T27,"△〜◯")*1.5+COUNTIF($I27:$T27,"△")*1+COUNTIF($I27:$T27,"×〜△")*0.5</f>
        <v/>
      </c>
      <c r="AO27" s="17">
        <f>COUNTIF($I27:$T27,"◯")+COUNTIF($I27:$T27,"△〜◯")+COUNTIF($I27:$T27,"△")+COUNTIF($I27:$T27,"×〜△")+COUNTIF($I27:$T27,"×")</f>
        <v/>
      </c>
      <c r="AP27" s="17">
        <f>COUNTIF($I27:$T27,"×")</f>
        <v/>
      </c>
      <c r="AQ27" s="17">
        <f>COUNTIF($I27,"×")+COUNTIF($J27,"×")+COUNTIF($L27,"×")+COUNTIF($O27,"×")</f>
        <v/>
      </c>
    </row>
    <row r="28">
      <c r="A28" s="23" t="n"/>
      <c r="B28" s="23" t="n"/>
      <c r="C28" s="20" t="n"/>
      <c r="D28" s="23" t="n"/>
      <c r="E28" s="24" t="n"/>
      <c r="F28" s="24" t="n"/>
      <c r="G28" s="15">
        <f>IF(OR($E28="",$F28="",$AH28="",$AI28="",$F28&lt;=0),"",($E28-($AH28-$AI28))/$F28)</f>
        <v/>
      </c>
      <c r="H28" s="24" t="n"/>
      <c r="I28" s="25" t="n"/>
      <c r="J28" s="25" t="n"/>
      <c r="K28" s="25" t="n"/>
      <c r="L28" s="25" t="n"/>
      <c r="M28" s="25" t="n"/>
      <c r="N28" s="25" t="n"/>
      <c r="O28" s="25" t="n"/>
      <c r="P28" s="25" t="n"/>
      <c r="Q28" s="25" t="n"/>
      <c r="R28" s="25" t="n"/>
      <c r="S28" s="25" t="n"/>
      <c r="T28" s="25" t="n"/>
      <c r="U28" s="17">
        <f>IF($AO28=0,"",IF($AQ28&gt;0,"C：見送り（Must×）",IF($AP28&gt;=2,"C：見送り（×2件以上）",IF($AO28&lt;6,"B：追加情報を取得",IF(AND($AP28=0,$AN28/($AO28*2)&gt;=0.75),"A：進める","B：追加情報を取得")))))</f>
        <v/>
      </c>
      <c r="V28" s="18">
        <f>IF($AO28=0,"",$AN28/($AO28*2))</f>
        <v/>
      </c>
      <c r="W28" s="17">
        <f>IF($A28="","",COUNTIFS(質問リスト!$A$4:$A$303,$A28,質問リスト!$O$4:$O$303,"&lt;&gt;解決"))</f>
        <v/>
      </c>
      <c r="X28" s="23" t="n"/>
      <c r="Y28" s="20" t="n"/>
      <c r="Z28" s="22" t="n"/>
      <c r="AA28" s="22" t="n"/>
      <c r="AB28" s="20" t="n"/>
      <c r="AC28" s="20" t="n"/>
      <c r="AD28" s="22" t="n"/>
      <c r="AE28" s="23" t="n"/>
      <c r="AF28" s="23" t="n"/>
      <c r="AG28" s="23" t="n"/>
      <c r="AH28" s="24" t="n"/>
      <c r="AI28" s="24" t="n"/>
      <c r="AJ28" s="17">
        <f>IF($H28="","",IF($H28&lt;300,"下限未満（対象外）",IF($H28&gt;3000,"上限超（対象外）","範囲内")))</f>
        <v/>
      </c>
      <c r="AK28" s="15">
        <f>IF(OR($E28="",$F28="",$AH28="",$F28&lt;=0),"",($E28-$AH28)/$F28)</f>
        <v/>
      </c>
      <c r="AL28" s="23" t="n"/>
      <c r="AM28" s="20" t="n"/>
      <c r="AN28" s="21">
        <f>COUNTIF($I28:$T28,"◯")*2+COUNTIF($I28:$T28,"△〜◯")*1.5+COUNTIF($I28:$T28,"△")*1+COUNTIF($I28:$T28,"×〜△")*0.5</f>
        <v/>
      </c>
      <c r="AO28" s="17">
        <f>COUNTIF($I28:$T28,"◯")+COUNTIF($I28:$T28,"△〜◯")+COUNTIF($I28:$T28,"△")+COUNTIF($I28:$T28,"×〜△")+COUNTIF($I28:$T28,"×")</f>
        <v/>
      </c>
      <c r="AP28" s="17">
        <f>COUNTIF($I28:$T28,"×")</f>
        <v/>
      </c>
      <c r="AQ28" s="17">
        <f>COUNTIF($I28,"×")+COUNTIF($J28,"×")+COUNTIF($L28,"×")+COUNTIF($O28,"×")</f>
        <v/>
      </c>
    </row>
    <row r="29">
      <c r="A29" s="23" t="n"/>
      <c r="B29" s="23" t="n"/>
      <c r="C29" s="20" t="n"/>
      <c r="D29" s="23" t="n"/>
      <c r="E29" s="24" t="n"/>
      <c r="F29" s="24" t="n"/>
      <c r="G29" s="15">
        <f>IF(OR($E29="",$F29="",$AH29="",$AI29="",$F29&lt;=0),"",($E29-($AH29-$AI29))/$F29)</f>
        <v/>
      </c>
      <c r="H29" s="24" t="n"/>
      <c r="I29" s="25" t="n"/>
      <c r="J29" s="25" t="n"/>
      <c r="K29" s="25" t="n"/>
      <c r="L29" s="25" t="n"/>
      <c r="M29" s="25" t="n"/>
      <c r="N29" s="25" t="n"/>
      <c r="O29" s="25" t="n"/>
      <c r="P29" s="25" t="n"/>
      <c r="Q29" s="25" t="n"/>
      <c r="R29" s="25" t="n"/>
      <c r="S29" s="25" t="n"/>
      <c r="T29" s="25" t="n"/>
      <c r="U29" s="17">
        <f>IF($AO29=0,"",IF($AQ29&gt;0,"C：見送り（Must×）",IF($AP29&gt;=2,"C：見送り（×2件以上）",IF($AO29&lt;6,"B：追加情報を取得",IF(AND($AP29=0,$AN29/($AO29*2)&gt;=0.75),"A：進める","B：追加情報を取得")))))</f>
        <v/>
      </c>
      <c r="V29" s="18">
        <f>IF($AO29=0,"",$AN29/($AO29*2))</f>
        <v/>
      </c>
      <c r="W29" s="17">
        <f>IF($A29="","",COUNTIFS(質問リスト!$A$4:$A$303,$A29,質問リスト!$O$4:$O$303,"&lt;&gt;解決"))</f>
        <v/>
      </c>
      <c r="X29" s="23" t="n"/>
      <c r="Y29" s="20" t="n"/>
      <c r="Z29" s="22" t="n"/>
      <c r="AA29" s="22" t="n"/>
      <c r="AB29" s="20" t="n"/>
      <c r="AC29" s="20" t="n"/>
      <c r="AD29" s="22" t="n"/>
      <c r="AE29" s="23" t="n"/>
      <c r="AF29" s="23" t="n"/>
      <c r="AG29" s="23" t="n"/>
      <c r="AH29" s="24" t="n"/>
      <c r="AI29" s="24" t="n"/>
      <c r="AJ29" s="17">
        <f>IF($H29="","",IF($H29&lt;300,"下限未満（対象外）",IF($H29&gt;3000,"上限超（対象外）","範囲内")))</f>
        <v/>
      </c>
      <c r="AK29" s="15">
        <f>IF(OR($E29="",$F29="",$AH29="",$F29&lt;=0),"",($E29-$AH29)/$F29)</f>
        <v/>
      </c>
      <c r="AL29" s="23" t="n"/>
      <c r="AM29" s="20" t="n"/>
      <c r="AN29" s="21">
        <f>COUNTIF($I29:$T29,"◯")*2+COUNTIF($I29:$T29,"△〜◯")*1.5+COUNTIF($I29:$T29,"△")*1+COUNTIF($I29:$T29,"×〜△")*0.5</f>
        <v/>
      </c>
      <c r="AO29" s="17">
        <f>COUNTIF($I29:$T29,"◯")+COUNTIF($I29:$T29,"△〜◯")+COUNTIF($I29:$T29,"△")+COUNTIF($I29:$T29,"×〜△")+COUNTIF($I29:$T29,"×")</f>
        <v/>
      </c>
      <c r="AP29" s="17">
        <f>COUNTIF($I29:$T29,"×")</f>
        <v/>
      </c>
      <c r="AQ29" s="17">
        <f>COUNTIF($I29,"×")+COUNTIF($J29,"×")+COUNTIF($L29,"×")+COUNTIF($O29,"×")</f>
        <v/>
      </c>
    </row>
    <row r="30">
      <c r="A30" s="23" t="n"/>
      <c r="B30" s="23" t="n"/>
      <c r="C30" s="20" t="n"/>
      <c r="D30" s="23" t="n"/>
      <c r="E30" s="24" t="n"/>
      <c r="F30" s="24" t="n"/>
      <c r="G30" s="15">
        <f>IF(OR($E30="",$F30="",$AH30="",$AI30="",$F30&lt;=0),"",($E30-($AH30-$AI30))/$F30)</f>
        <v/>
      </c>
      <c r="H30" s="24" t="n"/>
      <c r="I30" s="25" t="n"/>
      <c r="J30" s="25" t="n"/>
      <c r="K30" s="25" t="n"/>
      <c r="L30" s="25" t="n"/>
      <c r="M30" s="25" t="n"/>
      <c r="N30" s="25" t="n"/>
      <c r="O30" s="25" t="n"/>
      <c r="P30" s="25" t="n"/>
      <c r="Q30" s="25" t="n"/>
      <c r="R30" s="25" t="n"/>
      <c r="S30" s="25" t="n"/>
      <c r="T30" s="25" t="n"/>
      <c r="U30" s="17">
        <f>IF($AO30=0,"",IF($AQ30&gt;0,"C：見送り（Must×）",IF($AP30&gt;=2,"C：見送り（×2件以上）",IF($AO30&lt;6,"B：追加情報を取得",IF(AND($AP30=0,$AN30/($AO30*2)&gt;=0.75),"A：進める","B：追加情報を取得")))))</f>
        <v/>
      </c>
      <c r="V30" s="18">
        <f>IF($AO30=0,"",$AN30/($AO30*2))</f>
        <v/>
      </c>
      <c r="W30" s="17">
        <f>IF($A30="","",COUNTIFS(質問リスト!$A$4:$A$303,$A30,質問リスト!$O$4:$O$303,"&lt;&gt;解決"))</f>
        <v/>
      </c>
      <c r="X30" s="23" t="n"/>
      <c r="Y30" s="20" t="n"/>
      <c r="Z30" s="22" t="n"/>
      <c r="AA30" s="22" t="n"/>
      <c r="AB30" s="20" t="n"/>
      <c r="AC30" s="20" t="n"/>
      <c r="AD30" s="22" t="n"/>
      <c r="AE30" s="23" t="n"/>
      <c r="AF30" s="23" t="n"/>
      <c r="AG30" s="23" t="n"/>
      <c r="AH30" s="24" t="n"/>
      <c r="AI30" s="24" t="n"/>
      <c r="AJ30" s="17">
        <f>IF($H30="","",IF($H30&lt;300,"下限未満（対象外）",IF($H30&gt;3000,"上限超（対象外）","範囲内")))</f>
        <v/>
      </c>
      <c r="AK30" s="15">
        <f>IF(OR($E30="",$F30="",$AH30="",$F30&lt;=0),"",($E30-$AH30)/$F30)</f>
        <v/>
      </c>
      <c r="AL30" s="23" t="n"/>
      <c r="AM30" s="20" t="n"/>
      <c r="AN30" s="21">
        <f>COUNTIF($I30:$T30,"◯")*2+COUNTIF($I30:$T30,"△〜◯")*1.5+COUNTIF($I30:$T30,"△")*1+COUNTIF($I30:$T30,"×〜△")*0.5</f>
        <v/>
      </c>
      <c r="AO30" s="17">
        <f>COUNTIF($I30:$T30,"◯")+COUNTIF($I30:$T30,"△〜◯")+COUNTIF($I30:$T30,"△")+COUNTIF($I30:$T30,"×〜△")+COUNTIF($I30:$T30,"×")</f>
        <v/>
      </c>
      <c r="AP30" s="17">
        <f>COUNTIF($I30:$T30,"×")</f>
        <v/>
      </c>
      <c r="AQ30" s="17">
        <f>COUNTIF($I30,"×")+COUNTIF($J30,"×")+COUNTIF($L30,"×")+COUNTIF($O30,"×")</f>
        <v/>
      </c>
    </row>
    <row r="31">
      <c r="A31" s="23" t="n"/>
      <c r="B31" s="23" t="n"/>
      <c r="C31" s="20" t="n"/>
      <c r="D31" s="23" t="n"/>
      <c r="E31" s="24" t="n"/>
      <c r="F31" s="24" t="n"/>
      <c r="G31" s="15">
        <f>IF(OR($E31="",$F31="",$AH31="",$AI31="",$F31&lt;=0),"",($E31-($AH31-$AI31))/$F31)</f>
        <v/>
      </c>
      <c r="H31" s="24" t="n"/>
      <c r="I31" s="25" t="n"/>
      <c r="J31" s="25" t="n"/>
      <c r="K31" s="25" t="n"/>
      <c r="L31" s="25" t="n"/>
      <c r="M31" s="25" t="n"/>
      <c r="N31" s="25" t="n"/>
      <c r="O31" s="25" t="n"/>
      <c r="P31" s="25" t="n"/>
      <c r="Q31" s="25" t="n"/>
      <c r="R31" s="25" t="n"/>
      <c r="S31" s="25" t="n"/>
      <c r="T31" s="25" t="n"/>
      <c r="U31" s="17">
        <f>IF($AO31=0,"",IF($AQ31&gt;0,"C：見送り（Must×）",IF($AP31&gt;=2,"C：見送り（×2件以上）",IF($AO31&lt;6,"B：追加情報を取得",IF(AND($AP31=0,$AN31/($AO31*2)&gt;=0.75),"A：進める","B：追加情報を取得")))))</f>
        <v/>
      </c>
      <c r="V31" s="18">
        <f>IF($AO31=0,"",$AN31/($AO31*2))</f>
        <v/>
      </c>
      <c r="W31" s="17">
        <f>IF($A31="","",COUNTIFS(質問リスト!$A$4:$A$303,$A31,質問リスト!$O$4:$O$303,"&lt;&gt;解決"))</f>
        <v/>
      </c>
      <c r="X31" s="23" t="n"/>
      <c r="Y31" s="20" t="n"/>
      <c r="Z31" s="22" t="n"/>
      <c r="AA31" s="22" t="n"/>
      <c r="AB31" s="20" t="n"/>
      <c r="AC31" s="20" t="n"/>
      <c r="AD31" s="22" t="n"/>
      <c r="AE31" s="23" t="n"/>
      <c r="AF31" s="23" t="n"/>
      <c r="AG31" s="23" t="n"/>
      <c r="AH31" s="24" t="n"/>
      <c r="AI31" s="24" t="n"/>
      <c r="AJ31" s="17">
        <f>IF($H31="","",IF($H31&lt;300,"下限未満（対象外）",IF($H31&gt;3000,"上限超（対象外）","範囲内")))</f>
        <v/>
      </c>
      <c r="AK31" s="15">
        <f>IF(OR($E31="",$F31="",$AH31="",$F31&lt;=0),"",($E31-$AH31)/$F31)</f>
        <v/>
      </c>
      <c r="AL31" s="23" t="n"/>
      <c r="AM31" s="20" t="n"/>
      <c r="AN31" s="21">
        <f>COUNTIF($I31:$T31,"◯")*2+COUNTIF($I31:$T31,"△〜◯")*1.5+COUNTIF($I31:$T31,"△")*1+COUNTIF($I31:$T31,"×〜△")*0.5</f>
        <v/>
      </c>
      <c r="AO31" s="17">
        <f>COUNTIF($I31:$T31,"◯")+COUNTIF($I31:$T31,"△〜◯")+COUNTIF($I31:$T31,"△")+COUNTIF($I31:$T31,"×〜△")+COUNTIF($I31:$T31,"×")</f>
        <v/>
      </c>
      <c r="AP31" s="17">
        <f>COUNTIF($I31:$T31,"×")</f>
        <v/>
      </c>
      <c r="AQ31" s="17">
        <f>COUNTIF($I31,"×")+COUNTIF($J31,"×")+COUNTIF($L31,"×")+COUNTIF($O31,"×")</f>
        <v/>
      </c>
    </row>
    <row r="32">
      <c r="A32" s="23" t="n"/>
      <c r="B32" s="23" t="n"/>
      <c r="C32" s="20" t="n"/>
      <c r="D32" s="23" t="n"/>
      <c r="E32" s="24" t="n"/>
      <c r="F32" s="24" t="n"/>
      <c r="G32" s="15">
        <f>IF(OR($E32="",$F32="",$AH32="",$AI32="",$F32&lt;=0),"",($E32-($AH32-$AI32))/$F32)</f>
        <v/>
      </c>
      <c r="H32" s="24" t="n"/>
      <c r="I32" s="25" t="n"/>
      <c r="J32" s="25" t="n"/>
      <c r="K32" s="25" t="n"/>
      <c r="L32" s="25" t="n"/>
      <c r="M32" s="25" t="n"/>
      <c r="N32" s="25" t="n"/>
      <c r="O32" s="25" t="n"/>
      <c r="P32" s="25" t="n"/>
      <c r="Q32" s="25" t="n"/>
      <c r="R32" s="25" t="n"/>
      <c r="S32" s="25" t="n"/>
      <c r="T32" s="25" t="n"/>
      <c r="U32" s="17">
        <f>IF($AO32=0,"",IF($AQ32&gt;0,"C：見送り（Must×）",IF($AP32&gt;=2,"C：見送り（×2件以上）",IF($AO32&lt;6,"B：追加情報を取得",IF(AND($AP32=0,$AN32/($AO32*2)&gt;=0.75),"A：進める","B：追加情報を取得")))))</f>
        <v/>
      </c>
      <c r="V32" s="18">
        <f>IF($AO32=0,"",$AN32/($AO32*2))</f>
        <v/>
      </c>
      <c r="W32" s="17">
        <f>IF($A32="","",COUNTIFS(質問リスト!$A$4:$A$303,$A32,質問リスト!$O$4:$O$303,"&lt;&gt;解決"))</f>
        <v/>
      </c>
      <c r="X32" s="23" t="n"/>
      <c r="Y32" s="20" t="n"/>
      <c r="Z32" s="22" t="n"/>
      <c r="AA32" s="22" t="n"/>
      <c r="AB32" s="20" t="n"/>
      <c r="AC32" s="20" t="n"/>
      <c r="AD32" s="22" t="n"/>
      <c r="AE32" s="23" t="n"/>
      <c r="AF32" s="23" t="n"/>
      <c r="AG32" s="23" t="n"/>
      <c r="AH32" s="24" t="n"/>
      <c r="AI32" s="24" t="n"/>
      <c r="AJ32" s="17">
        <f>IF($H32="","",IF($H32&lt;300,"下限未満（対象外）",IF($H32&gt;3000,"上限超（対象外）","範囲内")))</f>
        <v/>
      </c>
      <c r="AK32" s="15">
        <f>IF(OR($E32="",$F32="",$AH32="",$F32&lt;=0),"",($E32-$AH32)/$F32)</f>
        <v/>
      </c>
      <c r="AL32" s="23" t="n"/>
      <c r="AM32" s="20" t="n"/>
      <c r="AN32" s="21">
        <f>COUNTIF($I32:$T32,"◯")*2+COUNTIF($I32:$T32,"△〜◯")*1.5+COUNTIF($I32:$T32,"△")*1+COUNTIF($I32:$T32,"×〜△")*0.5</f>
        <v/>
      </c>
      <c r="AO32" s="17">
        <f>COUNTIF($I32:$T32,"◯")+COUNTIF($I32:$T32,"△〜◯")+COUNTIF($I32:$T32,"△")+COUNTIF($I32:$T32,"×〜△")+COUNTIF($I32:$T32,"×")</f>
        <v/>
      </c>
      <c r="AP32" s="17">
        <f>COUNTIF($I32:$T32,"×")</f>
        <v/>
      </c>
      <c r="AQ32" s="17">
        <f>COUNTIF($I32,"×")+COUNTIF($J32,"×")+COUNTIF($L32,"×")+COUNTIF($O32,"×")</f>
        <v/>
      </c>
    </row>
    <row r="33">
      <c r="A33" s="23" t="n"/>
      <c r="B33" s="23" t="n"/>
      <c r="C33" s="20" t="n"/>
      <c r="D33" s="23" t="n"/>
      <c r="E33" s="24" t="n"/>
      <c r="F33" s="24" t="n"/>
      <c r="G33" s="15">
        <f>IF(OR($E33="",$F33="",$AH33="",$AI33="",$F33&lt;=0),"",($E33-($AH33-$AI33))/$F33)</f>
        <v/>
      </c>
      <c r="H33" s="24" t="n"/>
      <c r="I33" s="25" t="n"/>
      <c r="J33" s="25" t="n"/>
      <c r="K33" s="25" t="n"/>
      <c r="L33" s="25" t="n"/>
      <c r="M33" s="25" t="n"/>
      <c r="N33" s="25" t="n"/>
      <c r="O33" s="25" t="n"/>
      <c r="P33" s="25" t="n"/>
      <c r="Q33" s="25" t="n"/>
      <c r="R33" s="25" t="n"/>
      <c r="S33" s="25" t="n"/>
      <c r="T33" s="25" t="n"/>
      <c r="U33" s="17">
        <f>IF($AO33=0,"",IF($AQ33&gt;0,"C：見送り（Must×）",IF($AP33&gt;=2,"C：見送り（×2件以上）",IF($AO33&lt;6,"B：追加情報を取得",IF(AND($AP33=0,$AN33/($AO33*2)&gt;=0.75),"A：進める","B：追加情報を取得")))))</f>
        <v/>
      </c>
      <c r="V33" s="18">
        <f>IF($AO33=0,"",$AN33/($AO33*2))</f>
        <v/>
      </c>
      <c r="W33" s="17">
        <f>IF($A33="","",COUNTIFS(質問リスト!$A$4:$A$303,$A33,質問リスト!$O$4:$O$303,"&lt;&gt;解決"))</f>
        <v/>
      </c>
      <c r="X33" s="23" t="n"/>
      <c r="Y33" s="20" t="n"/>
      <c r="Z33" s="22" t="n"/>
      <c r="AA33" s="22" t="n"/>
      <c r="AB33" s="20" t="n"/>
      <c r="AC33" s="20" t="n"/>
      <c r="AD33" s="22" t="n"/>
      <c r="AE33" s="23" t="n"/>
      <c r="AF33" s="23" t="n"/>
      <c r="AG33" s="23" t="n"/>
      <c r="AH33" s="24" t="n"/>
      <c r="AI33" s="24" t="n"/>
      <c r="AJ33" s="17">
        <f>IF($H33="","",IF($H33&lt;300,"下限未満（対象外）",IF($H33&gt;3000,"上限超（対象外）","範囲内")))</f>
        <v/>
      </c>
      <c r="AK33" s="15">
        <f>IF(OR($E33="",$F33="",$AH33="",$F33&lt;=0),"",($E33-$AH33)/$F33)</f>
        <v/>
      </c>
      <c r="AL33" s="23" t="n"/>
      <c r="AM33" s="20" t="n"/>
      <c r="AN33" s="21">
        <f>COUNTIF($I33:$T33,"◯")*2+COUNTIF($I33:$T33,"△〜◯")*1.5+COUNTIF($I33:$T33,"△")*1+COUNTIF($I33:$T33,"×〜△")*0.5</f>
        <v/>
      </c>
      <c r="AO33" s="17">
        <f>COUNTIF($I33:$T33,"◯")+COUNTIF($I33:$T33,"△〜◯")+COUNTIF($I33:$T33,"△")+COUNTIF($I33:$T33,"×〜△")+COUNTIF($I33:$T33,"×")</f>
        <v/>
      </c>
      <c r="AP33" s="17">
        <f>COUNTIF($I33:$T33,"×")</f>
        <v/>
      </c>
      <c r="AQ33" s="17">
        <f>COUNTIF($I33,"×")+COUNTIF($J33,"×")+COUNTIF($L33,"×")+COUNTIF($O33,"×")</f>
        <v/>
      </c>
    </row>
    <row r="34">
      <c r="A34" s="23" t="n"/>
      <c r="B34" s="23" t="n"/>
      <c r="C34" s="20" t="n"/>
      <c r="D34" s="23" t="n"/>
      <c r="E34" s="24" t="n"/>
      <c r="F34" s="24" t="n"/>
      <c r="G34" s="15">
        <f>IF(OR($E34="",$F34="",$AH34="",$AI34="",$F34&lt;=0),"",($E34-($AH34-$AI34))/$F34)</f>
        <v/>
      </c>
      <c r="H34" s="24" t="n"/>
      <c r="I34" s="25" t="n"/>
      <c r="J34" s="25" t="n"/>
      <c r="K34" s="25" t="n"/>
      <c r="L34" s="25" t="n"/>
      <c r="M34" s="25" t="n"/>
      <c r="N34" s="25" t="n"/>
      <c r="O34" s="25" t="n"/>
      <c r="P34" s="25" t="n"/>
      <c r="Q34" s="25" t="n"/>
      <c r="R34" s="25" t="n"/>
      <c r="S34" s="25" t="n"/>
      <c r="T34" s="25" t="n"/>
      <c r="U34" s="17">
        <f>IF($AO34=0,"",IF($AQ34&gt;0,"C：見送り（Must×）",IF($AP34&gt;=2,"C：見送り（×2件以上）",IF($AO34&lt;6,"B：追加情報を取得",IF(AND($AP34=0,$AN34/($AO34*2)&gt;=0.75),"A：進める","B：追加情報を取得")))))</f>
        <v/>
      </c>
      <c r="V34" s="18">
        <f>IF($AO34=0,"",$AN34/($AO34*2))</f>
        <v/>
      </c>
      <c r="W34" s="17">
        <f>IF($A34="","",COUNTIFS(質問リスト!$A$4:$A$303,$A34,質問リスト!$O$4:$O$303,"&lt;&gt;解決"))</f>
        <v/>
      </c>
      <c r="X34" s="23" t="n"/>
      <c r="Y34" s="20" t="n"/>
      <c r="Z34" s="22" t="n"/>
      <c r="AA34" s="22" t="n"/>
      <c r="AB34" s="20" t="n"/>
      <c r="AC34" s="20" t="n"/>
      <c r="AD34" s="22" t="n"/>
      <c r="AE34" s="23" t="n"/>
      <c r="AF34" s="23" t="n"/>
      <c r="AG34" s="23" t="n"/>
      <c r="AH34" s="24" t="n"/>
      <c r="AI34" s="24" t="n"/>
      <c r="AJ34" s="17">
        <f>IF($H34="","",IF($H34&lt;300,"下限未満（対象外）",IF($H34&gt;3000,"上限超（対象外）","範囲内")))</f>
        <v/>
      </c>
      <c r="AK34" s="15">
        <f>IF(OR($E34="",$F34="",$AH34="",$F34&lt;=0),"",($E34-$AH34)/$F34)</f>
        <v/>
      </c>
      <c r="AL34" s="23" t="n"/>
      <c r="AM34" s="20" t="n"/>
      <c r="AN34" s="21">
        <f>COUNTIF($I34:$T34,"◯")*2+COUNTIF($I34:$T34,"△〜◯")*1.5+COUNTIF($I34:$T34,"△")*1+COUNTIF($I34:$T34,"×〜△")*0.5</f>
        <v/>
      </c>
      <c r="AO34" s="17">
        <f>COUNTIF($I34:$T34,"◯")+COUNTIF($I34:$T34,"△〜◯")+COUNTIF($I34:$T34,"△")+COUNTIF($I34:$T34,"×〜△")+COUNTIF($I34:$T34,"×")</f>
        <v/>
      </c>
      <c r="AP34" s="17">
        <f>COUNTIF($I34:$T34,"×")</f>
        <v/>
      </c>
      <c r="AQ34" s="17">
        <f>COUNTIF($I34,"×")+COUNTIF($J34,"×")+COUNTIF($L34,"×")+COUNTIF($O34,"×")</f>
        <v/>
      </c>
    </row>
    <row r="35">
      <c r="A35" s="23" t="n"/>
      <c r="B35" s="23" t="n"/>
      <c r="C35" s="20" t="n"/>
      <c r="D35" s="23" t="n"/>
      <c r="E35" s="24" t="n"/>
      <c r="F35" s="24" t="n"/>
      <c r="G35" s="15">
        <f>IF(OR($E35="",$F35="",$AH35="",$AI35="",$F35&lt;=0),"",($E35-($AH35-$AI35))/$F35)</f>
        <v/>
      </c>
      <c r="H35" s="24" t="n"/>
      <c r="I35" s="25" t="n"/>
      <c r="J35" s="25" t="n"/>
      <c r="K35" s="25" t="n"/>
      <c r="L35" s="25" t="n"/>
      <c r="M35" s="25" t="n"/>
      <c r="N35" s="25" t="n"/>
      <c r="O35" s="25" t="n"/>
      <c r="P35" s="25" t="n"/>
      <c r="Q35" s="25" t="n"/>
      <c r="R35" s="25" t="n"/>
      <c r="S35" s="25" t="n"/>
      <c r="T35" s="25" t="n"/>
      <c r="U35" s="17">
        <f>IF($AO35=0,"",IF($AQ35&gt;0,"C：見送り（Must×）",IF($AP35&gt;=2,"C：見送り（×2件以上）",IF($AO35&lt;6,"B：追加情報を取得",IF(AND($AP35=0,$AN35/($AO35*2)&gt;=0.75),"A：進める","B：追加情報を取得")))))</f>
        <v/>
      </c>
      <c r="V35" s="18">
        <f>IF($AO35=0,"",$AN35/($AO35*2))</f>
        <v/>
      </c>
      <c r="W35" s="17">
        <f>IF($A35="","",COUNTIFS(質問リスト!$A$4:$A$303,$A35,質問リスト!$O$4:$O$303,"&lt;&gt;解決"))</f>
        <v/>
      </c>
      <c r="X35" s="23" t="n"/>
      <c r="Y35" s="20" t="n"/>
      <c r="Z35" s="22" t="n"/>
      <c r="AA35" s="22" t="n"/>
      <c r="AB35" s="20" t="n"/>
      <c r="AC35" s="20" t="n"/>
      <c r="AD35" s="22" t="n"/>
      <c r="AE35" s="23" t="n"/>
      <c r="AF35" s="23" t="n"/>
      <c r="AG35" s="23" t="n"/>
      <c r="AH35" s="24" t="n"/>
      <c r="AI35" s="24" t="n"/>
      <c r="AJ35" s="17">
        <f>IF($H35="","",IF($H35&lt;300,"下限未満（対象外）",IF($H35&gt;3000,"上限超（対象外）","範囲内")))</f>
        <v/>
      </c>
      <c r="AK35" s="15">
        <f>IF(OR($E35="",$F35="",$AH35="",$F35&lt;=0),"",($E35-$AH35)/$F35)</f>
        <v/>
      </c>
      <c r="AL35" s="23" t="n"/>
      <c r="AM35" s="20" t="n"/>
      <c r="AN35" s="21">
        <f>COUNTIF($I35:$T35,"◯")*2+COUNTIF($I35:$T35,"△〜◯")*1.5+COUNTIF($I35:$T35,"△")*1+COUNTIF($I35:$T35,"×〜△")*0.5</f>
        <v/>
      </c>
      <c r="AO35" s="17">
        <f>COUNTIF($I35:$T35,"◯")+COUNTIF($I35:$T35,"△〜◯")+COUNTIF($I35:$T35,"△")+COUNTIF($I35:$T35,"×〜△")+COUNTIF($I35:$T35,"×")</f>
        <v/>
      </c>
      <c r="AP35" s="17">
        <f>COUNTIF($I35:$T35,"×")</f>
        <v/>
      </c>
      <c r="AQ35" s="17">
        <f>COUNTIF($I35,"×")+COUNTIF($J35,"×")+COUNTIF($L35,"×")+COUNTIF($O35,"×")</f>
        <v/>
      </c>
    </row>
    <row r="36">
      <c r="A36" s="23" t="n"/>
      <c r="B36" s="23" t="n"/>
      <c r="C36" s="20" t="n"/>
      <c r="D36" s="23" t="n"/>
      <c r="E36" s="24" t="n"/>
      <c r="F36" s="24" t="n"/>
      <c r="G36" s="15">
        <f>IF(OR($E36="",$F36="",$AH36="",$AI36="",$F36&lt;=0),"",($E36-($AH36-$AI36))/$F36)</f>
        <v/>
      </c>
      <c r="H36" s="24" t="n"/>
      <c r="I36" s="25" t="n"/>
      <c r="J36" s="25" t="n"/>
      <c r="K36" s="25" t="n"/>
      <c r="L36" s="25" t="n"/>
      <c r="M36" s="25" t="n"/>
      <c r="N36" s="25" t="n"/>
      <c r="O36" s="25" t="n"/>
      <c r="P36" s="25" t="n"/>
      <c r="Q36" s="25" t="n"/>
      <c r="R36" s="25" t="n"/>
      <c r="S36" s="25" t="n"/>
      <c r="T36" s="25" t="n"/>
      <c r="U36" s="17">
        <f>IF($AO36=0,"",IF($AQ36&gt;0,"C：見送り（Must×）",IF($AP36&gt;=2,"C：見送り（×2件以上）",IF($AO36&lt;6,"B：追加情報を取得",IF(AND($AP36=0,$AN36/($AO36*2)&gt;=0.75),"A：進める","B：追加情報を取得")))))</f>
        <v/>
      </c>
      <c r="V36" s="18">
        <f>IF($AO36=0,"",$AN36/($AO36*2))</f>
        <v/>
      </c>
      <c r="W36" s="17">
        <f>IF($A36="","",COUNTIFS(質問リスト!$A$4:$A$303,$A36,質問リスト!$O$4:$O$303,"&lt;&gt;解決"))</f>
        <v/>
      </c>
      <c r="X36" s="23" t="n"/>
      <c r="Y36" s="20" t="n"/>
      <c r="Z36" s="22" t="n"/>
      <c r="AA36" s="22" t="n"/>
      <c r="AB36" s="20" t="n"/>
      <c r="AC36" s="20" t="n"/>
      <c r="AD36" s="22" t="n"/>
      <c r="AE36" s="23" t="n"/>
      <c r="AF36" s="23" t="n"/>
      <c r="AG36" s="23" t="n"/>
      <c r="AH36" s="24" t="n"/>
      <c r="AI36" s="24" t="n"/>
      <c r="AJ36" s="17">
        <f>IF($H36="","",IF($H36&lt;300,"下限未満（対象外）",IF($H36&gt;3000,"上限超（対象外）","範囲内")))</f>
        <v/>
      </c>
      <c r="AK36" s="15">
        <f>IF(OR($E36="",$F36="",$AH36="",$F36&lt;=0),"",($E36-$AH36)/$F36)</f>
        <v/>
      </c>
      <c r="AL36" s="23" t="n"/>
      <c r="AM36" s="20" t="n"/>
      <c r="AN36" s="21">
        <f>COUNTIF($I36:$T36,"◯")*2+COUNTIF($I36:$T36,"△〜◯")*1.5+COUNTIF($I36:$T36,"△")*1+COUNTIF($I36:$T36,"×〜△")*0.5</f>
        <v/>
      </c>
      <c r="AO36" s="17">
        <f>COUNTIF($I36:$T36,"◯")+COUNTIF($I36:$T36,"△〜◯")+COUNTIF($I36:$T36,"△")+COUNTIF($I36:$T36,"×〜△")+COUNTIF($I36:$T36,"×")</f>
        <v/>
      </c>
      <c r="AP36" s="17">
        <f>COUNTIF($I36:$T36,"×")</f>
        <v/>
      </c>
      <c r="AQ36" s="17">
        <f>COUNTIF($I36,"×")+COUNTIF($J36,"×")+COUNTIF($L36,"×")+COUNTIF($O36,"×")</f>
        <v/>
      </c>
    </row>
    <row r="37">
      <c r="A37" s="23" t="n"/>
      <c r="B37" s="23" t="n"/>
      <c r="C37" s="20" t="n"/>
      <c r="D37" s="23" t="n"/>
      <c r="E37" s="24" t="n"/>
      <c r="F37" s="24" t="n"/>
      <c r="G37" s="15">
        <f>IF(OR($E37="",$F37="",$AH37="",$AI37="",$F37&lt;=0),"",($E37-($AH37-$AI37))/$F37)</f>
        <v/>
      </c>
      <c r="H37" s="24" t="n"/>
      <c r="I37" s="25" t="n"/>
      <c r="J37" s="25" t="n"/>
      <c r="K37" s="25" t="n"/>
      <c r="L37" s="25" t="n"/>
      <c r="M37" s="25" t="n"/>
      <c r="N37" s="25" t="n"/>
      <c r="O37" s="25" t="n"/>
      <c r="P37" s="25" t="n"/>
      <c r="Q37" s="25" t="n"/>
      <c r="R37" s="25" t="n"/>
      <c r="S37" s="25" t="n"/>
      <c r="T37" s="25" t="n"/>
      <c r="U37" s="17">
        <f>IF($AO37=0,"",IF($AQ37&gt;0,"C：見送り（Must×）",IF($AP37&gt;=2,"C：見送り（×2件以上）",IF($AO37&lt;6,"B：追加情報を取得",IF(AND($AP37=0,$AN37/($AO37*2)&gt;=0.75),"A：進める","B：追加情報を取得")))))</f>
        <v/>
      </c>
      <c r="V37" s="18">
        <f>IF($AO37=0,"",$AN37/($AO37*2))</f>
        <v/>
      </c>
      <c r="W37" s="17">
        <f>IF($A37="","",COUNTIFS(質問リスト!$A$4:$A$303,$A37,質問リスト!$O$4:$O$303,"&lt;&gt;解決"))</f>
        <v/>
      </c>
      <c r="X37" s="23" t="n"/>
      <c r="Y37" s="20" t="n"/>
      <c r="Z37" s="22" t="n"/>
      <c r="AA37" s="22" t="n"/>
      <c r="AB37" s="20" t="n"/>
      <c r="AC37" s="20" t="n"/>
      <c r="AD37" s="22" t="n"/>
      <c r="AE37" s="23" t="n"/>
      <c r="AF37" s="23" t="n"/>
      <c r="AG37" s="23" t="n"/>
      <c r="AH37" s="24" t="n"/>
      <c r="AI37" s="24" t="n"/>
      <c r="AJ37" s="17">
        <f>IF($H37="","",IF($H37&lt;300,"下限未満（対象外）",IF($H37&gt;3000,"上限超（対象外）","範囲内")))</f>
        <v/>
      </c>
      <c r="AK37" s="15">
        <f>IF(OR($E37="",$F37="",$AH37="",$F37&lt;=0),"",($E37-$AH37)/$F37)</f>
        <v/>
      </c>
      <c r="AL37" s="23" t="n"/>
      <c r="AM37" s="20" t="n"/>
      <c r="AN37" s="21">
        <f>COUNTIF($I37:$T37,"◯")*2+COUNTIF($I37:$T37,"△〜◯")*1.5+COUNTIF($I37:$T37,"△")*1+COUNTIF($I37:$T37,"×〜△")*0.5</f>
        <v/>
      </c>
      <c r="AO37" s="17">
        <f>COUNTIF($I37:$T37,"◯")+COUNTIF($I37:$T37,"△〜◯")+COUNTIF($I37:$T37,"△")+COUNTIF($I37:$T37,"×〜△")+COUNTIF($I37:$T37,"×")</f>
        <v/>
      </c>
      <c r="AP37" s="17">
        <f>COUNTIF($I37:$T37,"×")</f>
        <v/>
      </c>
      <c r="AQ37" s="17">
        <f>COUNTIF($I37,"×")+COUNTIF($J37,"×")+COUNTIF($L37,"×")+COUNTIF($O37,"×")</f>
        <v/>
      </c>
    </row>
    <row r="38">
      <c r="A38" s="23" t="n"/>
      <c r="B38" s="23" t="n"/>
      <c r="C38" s="20" t="n"/>
      <c r="D38" s="23" t="n"/>
      <c r="E38" s="24" t="n"/>
      <c r="F38" s="24" t="n"/>
      <c r="G38" s="15">
        <f>IF(OR($E38="",$F38="",$AH38="",$AI38="",$F38&lt;=0),"",($E38-($AH38-$AI38))/$F38)</f>
        <v/>
      </c>
      <c r="H38" s="24" t="n"/>
      <c r="I38" s="25" t="n"/>
      <c r="J38" s="25" t="n"/>
      <c r="K38" s="25" t="n"/>
      <c r="L38" s="25" t="n"/>
      <c r="M38" s="25" t="n"/>
      <c r="N38" s="25" t="n"/>
      <c r="O38" s="25" t="n"/>
      <c r="P38" s="25" t="n"/>
      <c r="Q38" s="25" t="n"/>
      <c r="R38" s="25" t="n"/>
      <c r="S38" s="25" t="n"/>
      <c r="T38" s="25" t="n"/>
      <c r="U38" s="17">
        <f>IF($AO38=0,"",IF($AQ38&gt;0,"C：見送り（Must×）",IF($AP38&gt;=2,"C：見送り（×2件以上）",IF($AO38&lt;6,"B：追加情報を取得",IF(AND($AP38=0,$AN38/($AO38*2)&gt;=0.75),"A：進める","B：追加情報を取得")))))</f>
        <v/>
      </c>
      <c r="V38" s="18">
        <f>IF($AO38=0,"",$AN38/($AO38*2))</f>
        <v/>
      </c>
      <c r="W38" s="17">
        <f>IF($A38="","",COUNTIFS(質問リスト!$A$4:$A$303,$A38,質問リスト!$O$4:$O$303,"&lt;&gt;解決"))</f>
        <v/>
      </c>
      <c r="X38" s="23" t="n"/>
      <c r="Y38" s="20" t="n"/>
      <c r="Z38" s="22" t="n"/>
      <c r="AA38" s="22" t="n"/>
      <c r="AB38" s="20" t="n"/>
      <c r="AC38" s="20" t="n"/>
      <c r="AD38" s="22" t="n"/>
      <c r="AE38" s="23" t="n"/>
      <c r="AF38" s="23" t="n"/>
      <c r="AG38" s="23" t="n"/>
      <c r="AH38" s="24" t="n"/>
      <c r="AI38" s="24" t="n"/>
      <c r="AJ38" s="17">
        <f>IF($H38="","",IF($H38&lt;300,"下限未満（対象外）",IF($H38&gt;3000,"上限超（対象外）","範囲内")))</f>
        <v/>
      </c>
      <c r="AK38" s="15">
        <f>IF(OR($E38="",$F38="",$AH38="",$F38&lt;=0),"",($E38-$AH38)/$F38)</f>
        <v/>
      </c>
      <c r="AL38" s="23" t="n"/>
      <c r="AM38" s="20" t="n"/>
      <c r="AN38" s="21">
        <f>COUNTIF($I38:$T38,"◯")*2+COUNTIF($I38:$T38,"△〜◯")*1.5+COUNTIF($I38:$T38,"△")*1+COUNTIF($I38:$T38,"×〜△")*0.5</f>
        <v/>
      </c>
      <c r="AO38" s="17">
        <f>COUNTIF($I38:$T38,"◯")+COUNTIF($I38:$T38,"△〜◯")+COUNTIF($I38:$T38,"△")+COUNTIF($I38:$T38,"×〜△")+COUNTIF($I38:$T38,"×")</f>
        <v/>
      </c>
      <c r="AP38" s="17">
        <f>COUNTIF($I38:$T38,"×")</f>
        <v/>
      </c>
      <c r="AQ38" s="17">
        <f>COUNTIF($I38,"×")+COUNTIF($J38,"×")+COUNTIF($L38,"×")+COUNTIF($O38,"×")</f>
        <v/>
      </c>
    </row>
    <row r="39">
      <c r="A39" s="23" t="n"/>
      <c r="B39" s="23" t="n"/>
      <c r="C39" s="20" t="n"/>
      <c r="D39" s="23" t="n"/>
      <c r="E39" s="24" t="n"/>
      <c r="F39" s="24" t="n"/>
      <c r="G39" s="15">
        <f>IF(OR($E39="",$F39="",$AH39="",$AI39="",$F39&lt;=0),"",($E39-($AH39-$AI39))/$F39)</f>
        <v/>
      </c>
      <c r="H39" s="24" t="n"/>
      <c r="I39" s="25" t="n"/>
      <c r="J39" s="25" t="n"/>
      <c r="K39" s="25" t="n"/>
      <c r="L39" s="25" t="n"/>
      <c r="M39" s="25" t="n"/>
      <c r="N39" s="25" t="n"/>
      <c r="O39" s="25" t="n"/>
      <c r="P39" s="25" t="n"/>
      <c r="Q39" s="25" t="n"/>
      <c r="R39" s="25" t="n"/>
      <c r="S39" s="25" t="n"/>
      <c r="T39" s="25" t="n"/>
      <c r="U39" s="17">
        <f>IF($AO39=0,"",IF($AQ39&gt;0,"C：見送り（Must×）",IF($AP39&gt;=2,"C：見送り（×2件以上）",IF($AO39&lt;6,"B：追加情報を取得",IF(AND($AP39=0,$AN39/($AO39*2)&gt;=0.75),"A：進める","B：追加情報を取得")))))</f>
        <v/>
      </c>
      <c r="V39" s="18">
        <f>IF($AO39=0,"",$AN39/($AO39*2))</f>
        <v/>
      </c>
      <c r="W39" s="17">
        <f>IF($A39="","",COUNTIFS(質問リスト!$A$4:$A$303,$A39,質問リスト!$O$4:$O$303,"&lt;&gt;解決"))</f>
        <v/>
      </c>
      <c r="X39" s="23" t="n"/>
      <c r="Y39" s="20" t="n"/>
      <c r="Z39" s="22" t="n"/>
      <c r="AA39" s="22" t="n"/>
      <c r="AB39" s="20" t="n"/>
      <c r="AC39" s="20" t="n"/>
      <c r="AD39" s="22" t="n"/>
      <c r="AE39" s="23" t="n"/>
      <c r="AF39" s="23" t="n"/>
      <c r="AG39" s="23" t="n"/>
      <c r="AH39" s="24" t="n"/>
      <c r="AI39" s="24" t="n"/>
      <c r="AJ39" s="17">
        <f>IF($H39="","",IF($H39&lt;300,"下限未満（対象外）",IF($H39&gt;3000,"上限超（対象外）","範囲内")))</f>
        <v/>
      </c>
      <c r="AK39" s="15">
        <f>IF(OR($E39="",$F39="",$AH39="",$F39&lt;=0),"",($E39-$AH39)/$F39)</f>
        <v/>
      </c>
      <c r="AL39" s="23" t="n"/>
      <c r="AM39" s="20" t="n"/>
      <c r="AN39" s="21">
        <f>COUNTIF($I39:$T39,"◯")*2+COUNTIF($I39:$T39,"△〜◯")*1.5+COUNTIF($I39:$T39,"△")*1+COUNTIF($I39:$T39,"×〜△")*0.5</f>
        <v/>
      </c>
      <c r="AO39" s="17">
        <f>COUNTIF($I39:$T39,"◯")+COUNTIF($I39:$T39,"△〜◯")+COUNTIF($I39:$T39,"△")+COUNTIF($I39:$T39,"×〜△")+COUNTIF($I39:$T39,"×")</f>
        <v/>
      </c>
      <c r="AP39" s="17">
        <f>COUNTIF($I39:$T39,"×")</f>
        <v/>
      </c>
      <c r="AQ39" s="17">
        <f>COUNTIF($I39,"×")+COUNTIF($J39,"×")+COUNTIF($L39,"×")+COUNTIF($O39,"×")</f>
        <v/>
      </c>
    </row>
    <row r="40">
      <c r="A40" s="23" t="n"/>
      <c r="B40" s="23" t="n"/>
      <c r="C40" s="20" t="n"/>
      <c r="D40" s="23" t="n"/>
      <c r="E40" s="24" t="n"/>
      <c r="F40" s="24" t="n"/>
      <c r="G40" s="15">
        <f>IF(OR($E40="",$F40="",$AH40="",$AI40="",$F40&lt;=0),"",($E40-($AH40-$AI40))/$F40)</f>
        <v/>
      </c>
      <c r="H40" s="24" t="n"/>
      <c r="I40" s="25" t="n"/>
      <c r="J40" s="25" t="n"/>
      <c r="K40" s="25" t="n"/>
      <c r="L40" s="25" t="n"/>
      <c r="M40" s="25" t="n"/>
      <c r="N40" s="25" t="n"/>
      <c r="O40" s="25" t="n"/>
      <c r="P40" s="25" t="n"/>
      <c r="Q40" s="25" t="n"/>
      <c r="R40" s="25" t="n"/>
      <c r="S40" s="25" t="n"/>
      <c r="T40" s="25" t="n"/>
      <c r="U40" s="17">
        <f>IF($AO40=0,"",IF($AQ40&gt;0,"C：見送り（Must×）",IF($AP40&gt;=2,"C：見送り（×2件以上）",IF($AO40&lt;6,"B：追加情報を取得",IF(AND($AP40=0,$AN40/($AO40*2)&gt;=0.75),"A：進める","B：追加情報を取得")))))</f>
        <v/>
      </c>
      <c r="V40" s="18">
        <f>IF($AO40=0,"",$AN40/($AO40*2))</f>
        <v/>
      </c>
      <c r="W40" s="17">
        <f>IF($A40="","",COUNTIFS(質問リスト!$A$4:$A$303,$A40,質問リスト!$O$4:$O$303,"&lt;&gt;解決"))</f>
        <v/>
      </c>
      <c r="X40" s="23" t="n"/>
      <c r="Y40" s="20" t="n"/>
      <c r="Z40" s="22" t="n"/>
      <c r="AA40" s="22" t="n"/>
      <c r="AB40" s="20" t="n"/>
      <c r="AC40" s="20" t="n"/>
      <c r="AD40" s="22" t="n"/>
      <c r="AE40" s="23" t="n"/>
      <c r="AF40" s="23" t="n"/>
      <c r="AG40" s="23" t="n"/>
      <c r="AH40" s="24" t="n"/>
      <c r="AI40" s="24" t="n"/>
      <c r="AJ40" s="17">
        <f>IF($H40="","",IF($H40&lt;300,"下限未満（対象外）",IF($H40&gt;3000,"上限超（対象外）","範囲内")))</f>
        <v/>
      </c>
      <c r="AK40" s="15">
        <f>IF(OR($E40="",$F40="",$AH40="",$F40&lt;=0),"",($E40-$AH40)/$F40)</f>
        <v/>
      </c>
      <c r="AL40" s="23" t="n"/>
      <c r="AM40" s="20" t="n"/>
      <c r="AN40" s="21">
        <f>COUNTIF($I40:$T40,"◯")*2+COUNTIF($I40:$T40,"△〜◯")*1.5+COUNTIF($I40:$T40,"△")*1+COUNTIF($I40:$T40,"×〜△")*0.5</f>
        <v/>
      </c>
      <c r="AO40" s="17">
        <f>COUNTIF($I40:$T40,"◯")+COUNTIF($I40:$T40,"△〜◯")+COUNTIF($I40:$T40,"△")+COUNTIF($I40:$T40,"×〜△")+COUNTIF($I40:$T40,"×")</f>
        <v/>
      </c>
      <c r="AP40" s="17">
        <f>COUNTIF($I40:$T40,"×")</f>
        <v/>
      </c>
      <c r="AQ40" s="17">
        <f>COUNTIF($I40,"×")+COUNTIF($J40,"×")+COUNTIF($L40,"×")+COUNTIF($O40,"×")</f>
        <v/>
      </c>
    </row>
    <row r="41">
      <c r="A41" s="23" t="n"/>
      <c r="B41" s="23" t="n"/>
      <c r="C41" s="20" t="n"/>
      <c r="D41" s="23" t="n"/>
      <c r="E41" s="24" t="n"/>
      <c r="F41" s="24" t="n"/>
      <c r="G41" s="15">
        <f>IF(OR($E41="",$F41="",$AH41="",$AI41="",$F41&lt;=0),"",($E41-($AH41-$AI41))/$F41)</f>
        <v/>
      </c>
      <c r="H41" s="24" t="n"/>
      <c r="I41" s="25" t="n"/>
      <c r="J41" s="25" t="n"/>
      <c r="K41" s="25" t="n"/>
      <c r="L41" s="25" t="n"/>
      <c r="M41" s="25" t="n"/>
      <c r="N41" s="25" t="n"/>
      <c r="O41" s="25" t="n"/>
      <c r="P41" s="25" t="n"/>
      <c r="Q41" s="25" t="n"/>
      <c r="R41" s="25" t="n"/>
      <c r="S41" s="25" t="n"/>
      <c r="T41" s="25" t="n"/>
      <c r="U41" s="17">
        <f>IF($AO41=0,"",IF($AQ41&gt;0,"C：見送り（Must×）",IF($AP41&gt;=2,"C：見送り（×2件以上）",IF($AO41&lt;6,"B：追加情報を取得",IF(AND($AP41=0,$AN41/($AO41*2)&gt;=0.75),"A：進める","B：追加情報を取得")))))</f>
        <v/>
      </c>
      <c r="V41" s="18">
        <f>IF($AO41=0,"",$AN41/($AO41*2))</f>
        <v/>
      </c>
      <c r="W41" s="17">
        <f>IF($A41="","",COUNTIFS(質問リスト!$A$4:$A$303,$A41,質問リスト!$O$4:$O$303,"&lt;&gt;解決"))</f>
        <v/>
      </c>
      <c r="X41" s="23" t="n"/>
      <c r="Y41" s="20" t="n"/>
      <c r="Z41" s="22" t="n"/>
      <c r="AA41" s="22" t="n"/>
      <c r="AB41" s="20" t="n"/>
      <c r="AC41" s="20" t="n"/>
      <c r="AD41" s="22" t="n"/>
      <c r="AE41" s="23" t="n"/>
      <c r="AF41" s="23" t="n"/>
      <c r="AG41" s="23" t="n"/>
      <c r="AH41" s="24" t="n"/>
      <c r="AI41" s="24" t="n"/>
      <c r="AJ41" s="17">
        <f>IF($H41="","",IF($H41&lt;300,"下限未満（対象外）",IF($H41&gt;3000,"上限超（対象外）","範囲内")))</f>
        <v/>
      </c>
      <c r="AK41" s="15">
        <f>IF(OR($E41="",$F41="",$AH41="",$F41&lt;=0),"",($E41-$AH41)/$F41)</f>
        <v/>
      </c>
      <c r="AL41" s="23" t="n"/>
      <c r="AM41" s="20" t="n"/>
      <c r="AN41" s="21">
        <f>COUNTIF($I41:$T41,"◯")*2+COUNTIF($I41:$T41,"△〜◯")*1.5+COUNTIF($I41:$T41,"△")*1+COUNTIF($I41:$T41,"×〜△")*0.5</f>
        <v/>
      </c>
      <c r="AO41" s="17">
        <f>COUNTIF($I41:$T41,"◯")+COUNTIF($I41:$T41,"△〜◯")+COUNTIF($I41:$T41,"△")+COUNTIF($I41:$T41,"×〜△")+COUNTIF($I41:$T41,"×")</f>
        <v/>
      </c>
      <c r="AP41" s="17">
        <f>COUNTIF($I41:$T41,"×")</f>
        <v/>
      </c>
      <c r="AQ41" s="17">
        <f>COUNTIF($I41,"×")+COUNTIF($J41,"×")+COUNTIF($L41,"×")+COUNTIF($O41,"×")</f>
        <v/>
      </c>
    </row>
    <row r="42">
      <c r="A42" s="23" t="n"/>
      <c r="B42" s="23" t="n"/>
      <c r="C42" s="20" t="n"/>
      <c r="D42" s="23" t="n"/>
      <c r="E42" s="24" t="n"/>
      <c r="F42" s="24" t="n"/>
      <c r="G42" s="15">
        <f>IF(OR($E42="",$F42="",$AH42="",$AI42="",$F42&lt;=0),"",($E42-($AH42-$AI42))/$F42)</f>
        <v/>
      </c>
      <c r="H42" s="24" t="n"/>
      <c r="I42" s="25" t="n"/>
      <c r="J42" s="25" t="n"/>
      <c r="K42" s="25" t="n"/>
      <c r="L42" s="25" t="n"/>
      <c r="M42" s="25" t="n"/>
      <c r="N42" s="25" t="n"/>
      <c r="O42" s="25" t="n"/>
      <c r="P42" s="25" t="n"/>
      <c r="Q42" s="25" t="n"/>
      <c r="R42" s="25" t="n"/>
      <c r="S42" s="25" t="n"/>
      <c r="T42" s="25" t="n"/>
      <c r="U42" s="17">
        <f>IF($AO42=0,"",IF($AQ42&gt;0,"C：見送り（Must×）",IF($AP42&gt;=2,"C：見送り（×2件以上）",IF($AO42&lt;6,"B：追加情報を取得",IF(AND($AP42=0,$AN42/($AO42*2)&gt;=0.75),"A：進める","B：追加情報を取得")))))</f>
        <v/>
      </c>
      <c r="V42" s="18">
        <f>IF($AO42=0,"",$AN42/($AO42*2))</f>
        <v/>
      </c>
      <c r="W42" s="17">
        <f>IF($A42="","",COUNTIFS(質問リスト!$A$4:$A$303,$A42,質問リスト!$O$4:$O$303,"&lt;&gt;解決"))</f>
        <v/>
      </c>
      <c r="X42" s="23" t="n"/>
      <c r="Y42" s="20" t="n"/>
      <c r="Z42" s="22" t="n"/>
      <c r="AA42" s="22" t="n"/>
      <c r="AB42" s="20" t="n"/>
      <c r="AC42" s="20" t="n"/>
      <c r="AD42" s="22" t="n"/>
      <c r="AE42" s="23" t="n"/>
      <c r="AF42" s="23" t="n"/>
      <c r="AG42" s="23" t="n"/>
      <c r="AH42" s="24" t="n"/>
      <c r="AI42" s="24" t="n"/>
      <c r="AJ42" s="17">
        <f>IF($H42="","",IF($H42&lt;300,"下限未満（対象外）",IF($H42&gt;3000,"上限超（対象外）","範囲内")))</f>
        <v/>
      </c>
      <c r="AK42" s="15">
        <f>IF(OR($E42="",$F42="",$AH42="",$F42&lt;=0),"",($E42-$AH42)/$F42)</f>
        <v/>
      </c>
      <c r="AL42" s="23" t="n"/>
      <c r="AM42" s="20" t="n"/>
      <c r="AN42" s="21">
        <f>COUNTIF($I42:$T42,"◯")*2+COUNTIF($I42:$T42,"△〜◯")*1.5+COUNTIF($I42:$T42,"△")*1+COUNTIF($I42:$T42,"×〜△")*0.5</f>
        <v/>
      </c>
      <c r="AO42" s="17">
        <f>COUNTIF($I42:$T42,"◯")+COUNTIF($I42:$T42,"△〜◯")+COUNTIF($I42:$T42,"△")+COUNTIF($I42:$T42,"×〜△")+COUNTIF($I42:$T42,"×")</f>
        <v/>
      </c>
      <c r="AP42" s="17">
        <f>COUNTIF($I42:$T42,"×")</f>
        <v/>
      </c>
      <c r="AQ42" s="17">
        <f>COUNTIF($I42,"×")+COUNTIF($J42,"×")+COUNTIF($L42,"×")+COUNTIF($O42,"×")</f>
        <v/>
      </c>
    </row>
    <row r="43">
      <c r="A43" s="23" t="n"/>
      <c r="B43" s="23" t="n"/>
      <c r="C43" s="20" t="n"/>
      <c r="D43" s="23" t="n"/>
      <c r="E43" s="24" t="n"/>
      <c r="F43" s="24" t="n"/>
      <c r="G43" s="15">
        <f>IF(OR($E43="",$F43="",$AH43="",$AI43="",$F43&lt;=0),"",($E43-($AH43-$AI43))/$F43)</f>
        <v/>
      </c>
      <c r="H43" s="24" t="n"/>
      <c r="I43" s="25" t="n"/>
      <c r="J43" s="25" t="n"/>
      <c r="K43" s="25" t="n"/>
      <c r="L43" s="25" t="n"/>
      <c r="M43" s="25" t="n"/>
      <c r="N43" s="25" t="n"/>
      <c r="O43" s="25" t="n"/>
      <c r="P43" s="25" t="n"/>
      <c r="Q43" s="25" t="n"/>
      <c r="R43" s="25" t="n"/>
      <c r="S43" s="25" t="n"/>
      <c r="T43" s="25" t="n"/>
      <c r="U43" s="17">
        <f>IF($AO43=0,"",IF($AQ43&gt;0,"C：見送り（Must×）",IF($AP43&gt;=2,"C：見送り（×2件以上）",IF($AO43&lt;6,"B：追加情報を取得",IF(AND($AP43=0,$AN43/($AO43*2)&gt;=0.75),"A：進める","B：追加情報を取得")))))</f>
        <v/>
      </c>
      <c r="V43" s="18">
        <f>IF($AO43=0,"",$AN43/($AO43*2))</f>
        <v/>
      </c>
      <c r="W43" s="17">
        <f>IF($A43="","",COUNTIFS(質問リスト!$A$4:$A$303,$A43,質問リスト!$O$4:$O$303,"&lt;&gt;解決"))</f>
        <v/>
      </c>
      <c r="X43" s="23" t="n"/>
      <c r="Y43" s="20" t="n"/>
      <c r="Z43" s="22" t="n"/>
      <c r="AA43" s="22" t="n"/>
      <c r="AB43" s="20" t="n"/>
      <c r="AC43" s="20" t="n"/>
      <c r="AD43" s="22" t="n"/>
      <c r="AE43" s="23" t="n"/>
      <c r="AF43" s="23" t="n"/>
      <c r="AG43" s="23" t="n"/>
      <c r="AH43" s="24" t="n"/>
      <c r="AI43" s="24" t="n"/>
      <c r="AJ43" s="17">
        <f>IF($H43="","",IF($H43&lt;300,"下限未満（対象外）",IF($H43&gt;3000,"上限超（対象外）","範囲内")))</f>
        <v/>
      </c>
      <c r="AK43" s="15">
        <f>IF(OR($E43="",$F43="",$AH43="",$F43&lt;=0),"",($E43-$AH43)/$F43)</f>
        <v/>
      </c>
      <c r="AL43" s="23" t="n"/>
      <c r="AM43" s="20" t="n"/>
      <c r="AN43" s="21">
        <f>COUNTIF($I43:$T43,"◯")*2+COUNTIF($I43:$T43,"△〜◯")*1.5+COUNTIF($I43:$T43,"△")*1+COUNTIF($I43:$T43,"×〜△")*0.5</f>
        <v/>
      </c>
      <c r="AO43" s="17">
        <f>COUNTIF($I43:$T43,"◯")+COUNTIF($I43:$T43,"△〜◯")+COUNTIF($I43:$T43,"△")+COUNTIF($I43:$T43,"×〜△")+COUNTIF($I43:$T43,"×")</f>
        <v/>
      </c>
      <c r="AP43" s="17">
        <f>COUNTIF($I43:$T43,"×")</f>
        <v/>
      </c>
      <c r="AQ43" s="17">
        <f>COUNTIF($I43,"×")+COUNTIF($J43,"×")+COUNTIF($L43,"×")+COUNTIF($O43,"×")</f>
        <v/>
      </c>
    </row>
    <row r="44">
      <c r="A44" s="23" t="n"/>
      <c r="B44" s="23" t="n"/>
      <c r="C44" s="20" t="n"/>
      <c r="D44" s="23" t="n"/>
      <c r="E44" s="24" t="n"/>
      <c r="F44" s="24" t="n"/>
      <c r="G44" s="15">
        <f>IF(OR($E44="",$F44="",$AH44="",$AI44="",$F44&lt;=0),"",($E44-($AH44-$AI44))/$F44)</f>
        <v/>
      </c>
      <c r="H44" s="24" t="n"/>
      <c r="I44" s="25" t="n"/>
      <c r="J44" s="25" t="n"/>
      <c r="K44" s="25" t="n"/>
      <c r="L44" s="25" t="n"/>
      <c r="M44" s="25" t="n"/>
      <c r="N44" s="25" t="n"/>
      <c r="O44" s="25" t="n"/>
      <c r="P44" s="25" t="n"/>
      <c r="Q44" s="25" t="n"/>
      <c r="R44" s="25" t="n"/>
      <c r="S44" s="25" t="n"/>
      <c r="T44" s="25" t="n"/>
      <c r="U44" s="17">
        <f>IF($AO44=0,"",IF($AQ44&gt;0,"C：見送り（Must×）",IF($AP44&gt;=2,"C：見送り（×2件以上）",IF($AO44&lt;6,"B：追加情報を取得",IF(AND($AP44=0,$AN44/($AO44*2)&gt;=0.75),"A：進める","B：追加情報を取得")))))</f>
        <v/>
      </c>
      <c r="V44" s="18">
        <f>IF($AO44=0,"",$AN44/($AO44*2))</f>
        <v/>
      </c>
      <c r="W44" s="17">
        <f>IF($A44="","",COUNTIFS(質問リスト!$A$4:$A$303,$A44,質問リスト!$O$4:$O$303,"&lt;&gt;解決"))</f>
        <v/>
      </c>
      <c r="X44" s="23" t="n"/>
      <c r="Y44" s="20" t="n"/>
      <c r="Z44" s="22" t="n"/>
      <c r="AA44" s="22" t="n"/>
      <c r="AB44" s="20" t="n"/>
      <c r="AC44" s="20" t="n"/>
      <c r="AD44" s="22" t="n"/>
      <c r="AE44" s="23" t="n"/>
      <c r="AF44" s="23" t="n"/>
      <c r="AG44" s="23" t="n"/>
      <c r="AH44" s="24" t="n"/>
      <c r="AI44" s="24" t="n"/>
      <c r="AJ44" s="17">
        <f>IF($H44="","",IF($H44&lt;300,"下限未満（対象外）",IF($H44&gt;3000,"上限超（対象外）","範囲内")))</f>
        <v/>
      </c>
      <c r="AK44" s="15">
        <f>IF(OR($E44="",$F44="",$AH44="",$F44&lt;=0),"",($E44-$AH44)/$F44)</f>
        <v/>
      </c>
      <c r="AL44" s="23" t="n"/>
      <c r="AM44" s="20" t="n"/>
      <c r="AN44" s="21">
        <f>COUNTIF($I44:$T44,"◯")*2+COUNTIF($I44:$T44,"△〜◯")*1.5+COUNTIF($I44:$T44,"△")*1+COUNTIF($I44:$T44,"×〜△")*0.5</f>
        <v/>
      </c>
      <c r="AO44" s="17">
        <f>COUNTIF($I44:$T44,"◯")+COUNTIF($I44:$T44,"△〜◯")+COUNTIF($I44:$T44,"△")+COUNTIF($I44:$T44,"×〜△")+COUNTIF($I44:$T44,"×")</f>
        <v/>
      </c>
      <c r="AP44" s="17">
        <f>COUNTIF($I44:$T44,"×")</f>
        <v/>
      </c>
      <c r="AQ44" s="17">
        <f>COUNTIF($I44,"×")+COUNTIF($J44,"×")+COUNTIF($L44,"×")+COUNTIF($O44,"×")</f>
        <v/>
      </c>
    </row>
    <row r="45">
      <c r="A45" s="23" t="n"/>
      <c r="B45" s="23" t="n"/>
      <c r="C45" s="20" t="n"/>
      <c r="D45" s="23" t="n"/>
      <c r="E45" s="24" t="n"/>
      <c r="F45" s="24" t="n"/>
      <c r="G45" s="15">
        <f>IF(OR($E45="",$F45="",$AH45="",$AI45="",$F45&lt;=0),"",($E45-($AH45-$AI45))/$F45)</f>
        <v/>
      </c>
      <c r="H45" s="24" t="n"/>
      <c r="I45" s="25" t="n"/>
      <c r="J45" s="25" t="n"/>
      <c r="K45" s="25" t="n"/>
      <c r="L45" s="25" t="n"/>
      <c r="M45" s="25" t="n"/>
      <c r="N45" s="25" t="n"/>
      <c r="O45" s="25" t="n"/>
      <c r="P45" s="25" t="n"/>
      <c r="Q45" s="25" t="n"/>
      <c r="R45" s="25" t="n"/>
      <c r="S45" s="25" t="n"/>
      <c r="T45" s="25" t="n"/>
      <c r="U45" s="17">
        <f>IF($AO45=0,"",IF($AQ45&gt;0,"C：見送り（Must×）",IF($AP45&gt;=2,"C：見送り（×2件以上）",IF($AO45&lt;6,"B：追加情報を取得",IF(AND($AP45=0,$AN45/($AO45*2)&gt;=0.75),"A：進める","B：追加情報を取得")))))</f>
        <v/>
      </c>
      <c r="V45" s="18">
        <f>IF($AO45=0,"",$AN45/($AO45*2))</f>
        <v/>
      </c>
      <c r="W45" s="17">
        <f>IF($A45="","",COUNTIFS(質問リスト!$A$4:$A$303,$A45,質問リスト!$O$4:$O$303,"&lt;&gt;解決"))</f>
        <v/>
      </c>
      <c r="X45" s="23" t="n"/>
      <c r="Y45" s="20" t="n"/>
      <c r="Z45" s="22" t="n"/>
      <c r="AA45" s="22" t="n"/>
      <c r="AB45" s="20" t="n"/>
      <c r="AC45" s="20" t="n"/>
      <c r="AD45" s="22" t="n"/>
      <c r="AE45" s="23" t="n"/>
      <c r="AF45" s="23" t="n"/>
      <c r="AG45" s="23" t="n"/>
      <c r="AH45" s="24" t="n"/>
      <c r="AI45" s="24" t="n"/>
      <c r="AJ45" s="17">
        <f>IF($H45="","",IF($H45&lt;300,"下限未満（対象外）",IF($H45&gt;3000,"上限超（対象外）","範囲内")))</f>
        <v/>
      </c>
      <c r="AK45" s="15">
        <f>IF(OR($E45="",$F45="",$AH45="",$F45&lt;=0),"",($E45-$AH45)/$F45)</f>
        <v/>
      </c>
      <c r="AL45" s="23" t="n"/>
      <c r="AM45" s="20" t="n"/>
      <c r="AN45" s="21">
        <f>COUNTIF($I45:$T45,"◯")*2+COUNTIF($I45:$T45,"△〜◯")*1.5+COUNTIF($I45:$T45,"△")*1+COUNTIF($I45:$T45,"×〜△")*0.5</f>
        <v/>
      </c>
      <c r="AO45" s="17">
        <f>COUNTIF($I45:$T45,"◯")+COUNTIF($I45:$T45,"△〜◯")+COUNTIF($I45:$T45,"△")+COUNTIF($I45:$T45,"×〜△")+COUNTIF($I45:$T45,"×")</f>
        <v/>
      </c>
      <c r="AP45" s="17">
        <f>COUNTIF($I45:$T45,"×")</f>
        <v/>
      </c>
      <c r="AQ45" s="17">
        <f>COUNTIF($I45,"×")+COUNTIF($J45,"×")+COUNTIF($L45,"×")+COUNTIF($O45,"×")</f>
        <v/>
      </c>
    </row>
    <row r="46">
      <c r="A46" s="23" t="n"/>
      <c r="B46" s="23" t="n"/>
      <c r="C46" s="20" t="n"/>
      <c r="D46" s="23" t="n"/>
      <c r="E46" s="24" t="n"/>
      <c r="F46" s="24" t="n"/>
      <c r="G46" s="15">
        <f>IF(OR($E46="",$F46="",$AH46="",$AI46="",$F46&lt;=0),"",($E46-($AH46-$AI46))/$F46)</f>
        <v/>
      </c>
      <c r="H46" s="24" t="n"/>
      <c r="I46" s="25" t="n"/>
      <c r="J46" s="25" t="n"/>
      <c r="K46" s="25" t="n"/>
      <c r="L46" s="25" t="n"/>
      <c r="M46" s="25" t="n"/>
      <c r="N46" s="25" t="n"/>
      <c r="O46" s="25" t="n"/>
      <c r="P46" s="25" t="n"/>
      <c r="Q46" s="25" t="n"/>
      <c r="R46" s="25" t="n"/>
      <c r="S46" s="25" t="n"/>
      <c r="T46" s="25" t="n"/>
      <c r="U46" s="17">
        <f>IF($AO46=0,"",IF($AQ46&gt;0,"C：見送り（Must×）",IF($AP46&gt;=2,"C：見送り（×2件以上）",IF($AO46&lt;6,"B：追加情報を取得",IF(AND($AP46=0,$AN46/($AO46*2)&gt;=0.75),"A：進める","B：追加情報を取得")))))</f>
        <v/>
      </c>
      <c r="V46" s="18">
        <f>IF($AO46=0,"",$AN46/($AO46*2))</f>
        <v/>
      </c>
      <c r="W46" s="17">
        <f>IF($A46="","",COUNTIFS(質問リスト!$A$4:$A$303,$A46,質問リスト!$O$4:$O$303,"&lt;&gt;解決"))</f>
        <v/>
      </c>
      <c r="X46" s="23" t="n"/>
      <c r="Y46" s="20" t="n"/>
      <c r="Z46" s="22" t="n"/>
      <c r="AA46" s="22" t="n"/>
      <c r="AB46" s="20" t="n"/>
      <c r="AC46" s="20" t="n"/>
      <c r="AD46" s="22" t="n"/>
      <c r="AE46" s="23" t="n"/>
      <c r="AF46" s="23" t="n"/>
      <c r="AG46" s="23" t="n"/>
      <c r="AH46" s="24" t="n"/>
      <c r="AI46" s="24" t="n"/>
      <c r="AJ46" s="17">
        <f>IF($H46="","",IF($H46&lt;300,"下限未満（対象外）",IF($H46&gt;3000,"上限超（対象外）","範囲内")))</f>
        <v/>
      </c>
      <c r="AK46" s="15">
        <f>IF(OR($E46="",$F46="",$AH46="",$F46&lt;=0),"",($E46-$AH46)/$F46)</f>
        <v/>
      </c>
      <c r="AL46" s="23" t="n"/>
      <c r="AM46" s="20" t="n"/>
      <c r="AN46" s="21">
        <f>COUNTIF($I46:$T46,"◯")*2+COUNTIF($I46:$T46,"△〜◯")*1.5+COUNTIF($I46:$T46,"△")*1+COUNTIF($I46:$T46,"×〜△")*0.5</f>
        <v/>
      </c>
      <c r="AO46" s="17">
        <f>COUNTIF($I46:$T46,"◯")+COUNTIF($I46:$T46,"△〜◯")+COUNTIF($I46:$T46,"△")+COUNTIF($I46:$T46,"×〜△")+COUNTIF($I46:$T46,"×")</f>
        <v/>
      </c>
      <c r="AP46" s="17">
        <f>COUNTIF($I46:$T46,"×")</f>
        <v/>
      </c>
      <c r="AQ46" s="17">
        <f>COUNTIF($I46,"×")+COUNTIF($J46,"×")+COUNTIF($L46,"×")+COUNTIF($O46,"×")</f>
        <v/>
      </c>
    </row>
    <row r="47">
      <c r="A47" s="23" t="n"/>
      <c r="B47" s="23" t="n"/>
      <c r="C47" s="20" t="n"/>
      <c r="D47" s="23" t="n"/>
      <c r="E47" s="24" t="n"/>
      <c r="F47" s="24" t="n"/>
      <c r="G47" s="15">
        <f>IF(OR($E47="",$F47="",$AH47="",$AI47="",$F47&lt;=0),"",($E47-($AH47-$AI47))/$F47)</f>
        <v/>
      </c>
      <c r="H47" s="24" t="n"/>
      <c r="I47" s="25" t="n"/>
      <c r="J47" s="25" t="n"/>
      <c r="K47" s="25" t="n"/>
      <c r="L47" s="25" t="n"/>
      <c r="M47" s="25" t="n"/>
      <c r="N47" s="25" t="n"/>
      <c r="O47" s="25" t="n"/>
      <c r="P47" s="25" t="n"/>
      <c r="Q47" s="25" t="n"/>
      <c r="R47" s="25" t="n"/>
      <c r="S47" s="25" t="n"/>
      <c r="T47" s="25" t="n"/>
      <c r="U47" s="17">
        <f>IF($AO47=0,"",IF($AQ47&gt;0,"C：見送り（Must×）",IF($AP47&gt;=2,"C：見送り（×2件以上）",IF($AO47&lt;6,"B：追加情報を取得",IF(AND($AP47=0,$AN47/($AO47*2)&gt;=0.75),"A：進める","B：追加情報を取得")))))</f>
        <v/>
      </c>
      <c r="V47" s="18">
        <f>IF($AO47=0,"",$AN47/($AO47*2))</f>
        <v/>
      </c>
      <c r="W47" s="17">
        <f>IF($A47="","",COUNTIFS(質問リスト!$A$4:$A$303,$A47,質問リスト!$O$4:$O$303,"&lt;&gt;解決"))</f>
        <v/>
      </c>
      <c r="X47" s="23" t="n"/>
      <c r="Y47" s="20" t="n"/>
      <c r="Z47" s="22" t="n"/>
      <c r="AA47" s="22" t="n"/>
      <c r="AB47" s="20" t="n"/>
      <c r="AC47" s="20" t="n"/>
      <c r="AD47" s="22" t="n"/>
      <c r="AE47" s="23" t="n"/>
      <c r="AF47" s="23" t="n"/>
      <c r="AG47" s="23" t="n"/>
      <c r="AH47" s="24" t="n"/>
      <c r="AI47" s="24" t="n"/>
      <c r="AJ47" s="17">
        <f>IF($H47="","",IF($H47&lt;300,"下限未満（対象外）",IF($H47&gt;3000,"上限超（対象外）","範囲内")))</f>
        <v/>
      </c>
      <c r="AK47" s="15">
        <f>IF(OR($E47="",$F47="",$AH47="",$F47&lt;=0),"",($E47-$AH47)/$F47)</f>
        <v/>
      </c>
      <c r="AL47" s="23" t="n"/>
      <c r="AM47" s="20" t="n"/>
      <c r="AN47" s="21">
        <f>COUNTIF($I47:$T47,"◯")*2+COUNTIF($I47:$T47,"△〜◯")*1.5+COUNTIF($I47:$T47,"△")*1+COUNTIF($I47:$T47,"×〜△")*0.5</f>
        <v/>
      </c>
      <c r="AO47" s="17">
        <f>COUNTIF($I47:$T47,"◯")+COUNTIF($I47:$T47,"△〜◯")+COUNTIF($I47:$T47,"△")+COUNTIF($I47:$T47,"×〜△")+COUNTIF($I47:$T47,"×")</f>
        <v/>
      </c>
      <c r="AP47" s="17">
        <f>COUNTIF($I47:$T47,"×")</f>
        <v/>
      </c>
      <c r="AQ47" s="17">
        <f>COUNTIF($I47,"×")+COUNTIF($J47,"×")+COUNTIF($L47,"×")+COUNTIF($O47,"×")</f>
        <v/>
      </c>
    </row>
    <row r="48">
      <c r="A48" s="23" t="n"/>
      <c r="B48" s="23" t="n"/>
      <c r="C48" s="20" t="n"/>
      <c r="D48" s="23" t="n"/>
      <c r="E48" s="24" t="n"/>
      <c r="F48" s="24" t="n"/>
      <c r="G48" s="15">
        <f>IF(OR($E48="",$F48="",$AH48="",$AI48="",$F48&lt;=0),"",($E48-($AH48-$AI48))/$F48)</f>
        <v/>
      </c>
      <c r="H48" s="24" t="n"/>
      <c r="I48" s="25" t="n"/>
      <c r="J48" s="25" t="n"/>
      <c r="K48" s="25" t="n"/>
      <c r="L48" s="25" t="n"/>
      <c r="M48" s="25" t="n"/>
      <c r="N48" s="25" t="n"/>
      <c r="O48" s="25" t="n"/>
      <c r="P48" s="25" t="n"/>
      <c r="Q48" s="25" t="n"/>
      <c r="R48" s="25" t="n"/>
      <c r="S48" s="25" t="n"/>
      <c r="T48" s="25" t="n"/>
      <c r="U48" s="17">
        <f>IF($AO48=0,"",IF($AQ48&gt;0,"C：見送り（Must×）",IF($AP48&gt;=2,"C：見送り（×2件以上）",IF($AO48&lt;6,"B：追加情報を取得",IF(AND($AP48=0,$AN48/($AO48*2)&gt;=0.75),"A：進める","B：追加情報を取得")))))</f>
        <v/>
      </c>
      <c r="V48" s="18">
        <f>IF($AO48=0,"",$AN48/($AO48*2))</f>
        <v/>
      </c>
      <c r="W48" s="17">
        <f>IF($A48="","",COUNTIFS(質問リスト!$A$4:$A$303,$A48,質問リスト!$O$4:$O$303,"&lt;&gt;解決"))</f>
        <v/>
      </c>
      <c r="X48" s="23" t="n"/>
      <c r="Y48" s="20" t="n"/>
      <c r="Z48" s="22" t="n"/>
      <c r="AA48" s="22" t="n"/>
      <c r="AB48" s="20" t="n"/>
      <c r="AC48" s="20" t="n"/>
      <c r="AD48" s="22" t="n"/>
      <c r="AE48" s="23" t="n"/>
      <c r="AF48" s="23" t="n"/>
      <c r="AG48" s="23" t="n"/>
      <c r="AH48" s="24" t="n"/>
      <c r="AI48" s="24" t="n"/>
      <c r="AJ48" s="17">
        <f>IF($H48="","",IF($H48&lt;300,"下限未満（対象外）",IF($H48&gt;3000,"上限超（対象外）","範囲内")))</f>
        <v/>
      </c>
      <c r="AK48" s="15">
        <f>IF(OR($E48="",$F48="",$AH48="",$F48&lt;=0),"",($E48-$AH48)/$F48)</f>
        <v/>
      </c>
      <c r="AL48" s="23" t="n"/>
      <c r="AM48" s="20" t="n"/>
      <c r="AN48" s="21">
        <f>COUNTIF($I48:$T48,"◯")*2+COUNTIF($I48:$T48,"△〜◯")*1.5+COUNTIF($I48:$T48,"△")*1+COUNTIF($I48:$T48,"×〜△")*0.5</f>
        <v/>
      </c>
      <c r="AO48" s="17">
        <f>COUNTIF($I48:$T48,"◯")+COUNTIF($I48:$T48,"△〜◯")+COUNTIF($I48:$T48,"△")+COUNTIF($I48:$T48,"×〜△")+COUNTIF($I48:$T48,"×")</f>
        <v/>
      </c>
      <c r="AP48" s="17">
        <f>COUNTIF($I48:$T48,"×")</f>
        <v/>
      </c>
      <c r="AQ48" s="17">
        <f>COUNTIF($I48,"×")+COUNTIF($J48,"×")+COUNTIF($L48,"×")+COUNTIF($O48,"×")</f>
        <v/>
      </c>
    </row>
    <row r="49">
      <c r="A49" s="23" t="n"/>
      <c r="B49" s="23" t="n"/>
      <c r="C49" s="20" t="n"/>
      <c r="D49" s="23" t="n"/>
      <c r="E49" s="24" t="n"/>
      <c r="F49" s="24" t="n"/>
      <c r="G49" s="15">
        <f>IF(OR($E49="",$F49="",$AH49="",$AI49="",$F49&lt;=0),"",($E49-($AH49-$AI49))/$F49)</f>
        <v/>
      </c>
      <c r="H49" s="24" t="n"/>
      <c r="I49" s="25" t="n"/>
      <c r="J49" s="25" t="n"/>
      <c r="K49" s="25" t="n"/>
      <c r="L49" s="25" t="n"/>
      <c r="M49" s="25" t="n"/>
      <c r="N49" s="25" t="n"/>
      <c r="O49" s="25" t="n"/>
      <c r="P49" s="25" t="n"/>
      <c r="Q49" s="25" t="n"/>
      <c r="R49" s="25" t="n"/>
      <c r="S49" s="25" t="n"/>
      <c r="T49" s="25" t="n"/>
      <c r="U49" s="17">
        <f>IF($AO49=0,"",IF($AQ49&gt;0,"C：見送り（Must×）",IF($AP49&gt;=2,"C：見送り（×2件以上）",IF($AO49&lt;6,"B：追加情報を取得",IF(AND($AP49=0,$AN49/($AO49*2)&gt;=0.75),"A：進める","B：追加情報を取得")))))</f>
        <v/>
      </c>
      <c r="V49" s="18">
        <f>IF($AO49=0,"",$AN49/($AO49*2))</f>
        <v/>
      </c>
      <c r="W49" s="17">
        <f>IF($A49="","",COUNTIFS(質問リスト!$A$4:$A$303,$A49,質問リスト!$O$4:$O$303,"&lt;&gt;解決"))</f>
        <v/>
      </c>
      <c r="X49" s="23" t="n"/>
      <c r="Y49" s="20" t="n"/>
      <c r="Z49" s="22" t="n"/>
      <c r="AA49" s="22" t="n"/>
      <c r="AB49" s="20" t="n"/>
      <c r="AC49" s="20" t="n"/>
      <c r="AD49" s="22" t="n"/>
      <c r="AE49" s="23" t="n"/>
      <c r="AF49" s="23" t="n"/>
      <c r="AG49" s="23" t="n"/>
      <c r="AH49" s="24" t="n"/>
      <c r="AI49" s="24" t="n"/>
      <c r="AJ49" s="17">
        <f>IF($H49="","",IF($H49&lt;300,"下限未満（対象外）",IF($H49&gt;3000,"上限超（対象外）","範囲内")))</f>
        <v/>
      </c>
      <c r="AK49" s="15">
        <f>IF(OR($E49="",$F49="",$AH49="",$F49&lt;=0),"",($E49-$AH49)/$F49)</f>
        <v/>
      </c>
      <c r="AL49" s="23" t="n"/>
      <c r="AM49" s="20" t="n"/>
      <c r="AN49" s="21">
        <f>COUNTIF($I49:$T49,"◯")*2+COUNTIF($I49:$T49,"△〜◯")*1.5+COUNTIF($I49:$T49,"△")*1+COUNTIF($I49:$T49,"×〜△")*0.5</f>
        <v/>
      </c>
      <c r="AO49" s="17">
        <f>COUNTIF($I49:$T49,"◯")+COUNTIF($I49:$T49,"△〜◯")+COUNTIF($I49:$T49,"△")+COUNTIF($I49:$T49,"×〜△")+COUNTIF($I49:$T49,"×")</f>
        <v/>
      </c>
      <c r="AP49" s="17">
        <f>COUNTIF($I49:$T49,"×")</f>
        <v/>
      </c>
      <c r="AQ49" s="17">
        <f>COUNTIF($I49,"×")+COUNTIF($J49,"×")+COUNTIF($L49,"×")+COUNTIF($O49,"×")</f>
        <v/>
      </c>
    </row>
    <row r="50">
      <c r="A50" s="23" t="n"/>
      <c r="B50" s="23" t="n"/>
      <c r="C50" s="20" t="n"/>
      <c r="D50" s="23" t="n"/>
      <c r="E50" s="24" t="n"/>
      <c r="F50" s="24" t="n"/>
      <c r="G50" s="15">
        <f>IF(OR($E50="",$F50="",$AH50="",$AI50="",$F50&lt;=0),"",($E50-($AH50-$AI50))/$F50)</f>
        <v/>
      </c>
      <c r="H50" s="24" t="n"/>
      <c r="I50" s="25" t="n"/>
      <c r="J50" s="25" t="n"/>
      <c r="K50" s="25" t="n"/>
      <c r="L50" s="25" t="n"/>
      <c r="M50" s="25" t="n"/>
      <c r="N50" s="25" t="n"/>
      <c r="O50" s="25" t="n"/>
      <c r="P50" s="25" t="n"/>
      <c r="Q50" s="25" t="n"/>
      <c r="R50" s="25" t="n"/>
      <c r="S50" s="25" t="n"/>
      <c r="T50" s="25" t="n"/>
      <c r="U50" s="17">
        <f>IF($AO50=0,"",IF($AQ50&gt;0,"C：見送り（Must×）",IF($AP50&gt;=2,"C：見送り（×2件以上）",IF($AO50&lt;6,"B：追加情報を取得",IF(AND($AP50=0,$AN50/($AO50*2)&gt;=0.75),"A：進める","B：追加情報を取得")))))</f>
        <v/>
      </c>
      <c r="V50" s="18">
        <f>IF($AO50=0,"",$AN50/($AO50*2))</f>
        <v/>
      </c>
      <c r="W50" s="17">
        <f>IF($A50="","",COUNTIFS(質問リスト!$A$4:$A$303,$A50,質問リスト!$O$4:$O$303,"&lt;&gt;解決"))</f>
        <v/>
      </c>
      <c r="X50" s="23" t="n"/>
      <c r="Y50" s="20" t="n"/>
      <c r="Z50" s="22" t="n"/>
      <c r="AA50" s="22" t="n"/>
      <c r="AB50" s="20" t="n"/>
      <c r="AC50" s="20" t="n"/>
      <c r="AD50" s="22" t="n"/>
      <c r="AE50" s="23" t="n"/>
      <c r="AF50" s="23" t="n"/>
      <c r="AG50" s="23" t="n"/>
      <c r="AH50" s="24" t="n"/>
      <c r="AI50" s="24" t="n"/>
      <c r="AJ50" s="17">
        <f>IF($H50="","",IF($H50&lt;300,"下限未満（対象外）",IF($H50&gt;3000,"上限超（対象外）","範囲内")))</f>
        <v/>
      </c>
      <c r="AK50" s="15">
        <f>IF(OR($E50="",$F50="",$AH50="",$F50&lt;=0),"",($E50-$AH50)/$F50)</f>
        <v/>
      </c>
      <c r="AL50" s="23" t="n"/>
      <c r="AM50" s="20" t="n"/>
      <c r="AN50" s="21">
        <f>COUNTIF($I50:$T50,"◯")*2+COUNTIF($I50:$T50,"△〜◯")*1.5+COUNTIF($I50:$T50,"△")*1+COUNTIF($I50:$T50,"×〜△")*0.5</f>
        <v/>
      </c>
      <c r="AO50" s="17">
        <f>COUNTIF($I50:$T50,"◯")+COUNTIF($I50:$T50,"△〜◯")+COUNTIF($I50:$T50,"△")+COUNTIF($I50:$T50,"×〜△")+COUNTIF($I50:$T50,"×")</f>
        <v/>
      </c>
      <c r="AP50" s="17">
        <f>COUNTIF($I50:$T50,"×")</f>
        <v/>
      </c>
      <c r="AQ50" s="17">
        <f>COUNTIF($I50,"×")+COUNTIF($J50,"×")+COUNTIF($L50,"×")+COUNTIF($O50,"×")</f>
        <v/>
      </c>
    </row>
    <row r="51">
      <c r="A51" s="23" t="n"/>
      <c r="B51" s="23" t="n"/>
      <c r="C51" s="20" t="n"/>
      <c r="D51" s="23" t="n"/>
      <c r="E51" s="24" t="n"/>
      <c r="F51" s="24" t="n"/>
      <c r="G51" s="15">
        <f>IF(OR($E51="",$F51="",$AH51="",$AI51="",$F51&lt;=0),"",($E51-($AH51-$AI51))/$F51)</f>
        <v/>
      </c>
      <c r="H51" s="24" t="n"/>
      <c r="I51" s="25" t="n"/>
      <c r="J51" s="25" t="n"/>
      <c r="K51" s="25" t="n"/>
      <c r="L51" s="25" t="n"/>
      <c r="M51" s="25" t="n"/>
      <c r="N51" s="25" t="n"/>
      <c r="O51" s="25" t="n"/>
      <c r="P51" s="25" t="n"/>
      <c r="Q51" s="25" t="n"/>
      <c r="R51" s="25" t="n"/>
      <c r="S51" s="25" t="n"/>
      <c r="T51" s="25" t="n"/>
      <c r="U51" s="17">
        <f>IF($AO51=0,"",IF($AQ51&gt;0,"C：見送り（Must×）",IF($AP51&gt;=2,"C：見送り（×2件以上）",IF($AO51&lt;6,"B：追加情報を取得",IF(AND($AP51=0,$AN51/($AO51*2)&gt;=0.75),"A：進める","B：追加情報を取得")))))</f>
        <v/>
      </c>
      <c r="V51" s="18">
        <f>IF($AO51=0,"",$AN51/($AO51*2))</f>
        <v/>
      </c>
      <c r="W51" s="17">
        <f>IF($A51="","",COUNTIFS(質問リスト!$A$4:$A$303,$A51,質問リスト!$O$4:$O$303,"&lt;&gt;解決"))</f>
        <v/>
      </c>
      <c r="X51" s="23" t="n"/>
      <c r="Y51" s="20" t="n"/>
      <c r="Z51" s="22" t="n"/>
      <c r="AA51" s="22" t="n"/>
      <c r="AB51" s="20" t="n"/>
      <c r="AC51" s="20" t="n"/>
      <c r="AD51" s="22" t="n"/>
      <c r="AE51" s="23" t="n"/>
      <c r="AF51" s="23" t="n"/>
      <c r="AG51" s="23" t="n"/>
      <c r="AH51" s="24" t="n"/>
      <c r="AI51" s="24" t="n"/>
      <c r="AJ51" s="17">
        <f>IF($H51="","",IF($H51&lt;300,"下限未満（対象外）",IF($H51&gt;3000,"上限超（対象外）","範囲内")))</f>
        <v/>
      </c>
      <c r="AK51" s="15">
        <f>IF(OR($E51="",$F51="",$AH51="",$F51&lt;=0),"",($E51-$AH51)/$F51)</f>
        <v/>
      </c>
      <c r="AL51" s="23" t="n"/>
      <c r="AM51" s="20" t="n"/>
      <c r="AN51" s="21">
        <f>COUNTIF($I51:$T51,"◯")*2+COUNTIF($I51:$T51,"△〜◯")*1.5+COUNTIF($I51:$T51,"△")*1+COUNTIF($I51:$T51,"×〜△")*0.5</f>
        <v/>
      </c>
      <c r="AO51" s="17">
        <f>COUNTIF($I51:$T51,"◯")+COUNTIF($I51:$T51,"△〜◯")+COUNTIF($I51:$T51,"△")+COUNTIF($I51:$T51,"×〜△")+COUNTIF($I51:$T51,"×")</f>
        <v/>
      </c>
      <c r="AP51" s="17">
        <f>COUNTIF($I51:$T51,"×")</f>
        <v/>
      </c>
      <c r="AQ51" s="17">
        <f>COUNTIF($I51,"×")+COUNTIF($J51,"×")+COUNTIF($L51,"×")+COUNTIF($O51,"×")</f>
        <v/>
      </c>
    </row>
    <row r="52">
      <c r="A52" s="23" t="n"/>
      <c r="B52" s="23" t="n"/>
      <c r="C52" s="20" t="n"/>
      <c r="D52" s="23" t="n"/>
      <c r="E52" s="24" t="n"/>
      <c r="F52" s="24" t="n"/>
      <c r="G52" s="15">
        <f>IF(OR($E52="",$F52="",$AH52="",$AI52="",$F52&lt;=0),"",($E52-($AH52-$AI52))/$F52)</f>
        <v/>
      </c>
      <c r="H52" s="24" t="n"/>
      <c r="I52" s="25" t="n"/>
      <c r="J52" s="25" t="n"/>
      <c r="K52" s="25" t="n"/>
      <c r="L52" s="25" t="n"/>
      <c r="M52" s="25" t="n"/>
      <c r="N52" s="25" t="n"/>
      <c r="O52" s="25" t="n"/>
      <c r="P52" s="25" t="n"/>
      <c r="Q52" s="25" t="n"/>
      <c r="R52" s="25" t="n"/>
      <c r="S52" s="25" t="n"/>
      <c r="T52" s="25" t="n"/>
      <c r="U52" s="17">
        <f>IF($AO52=0,"",IF($AQ52&gt;0,"C：見送り（Must×）",IF($AP52&gt;=2,"C：見送り（×2件以上）",IF($AO52&lt;6,"B：追加情報を取得",IF(AND($AP52=0,$AN52/($AO52*2)&gt;=0.75),"A：進める","B：追加情報を取得")))))</f>
        <v/>
      </c>
      <c r="V52" s="18">
        <f>IF($AO52=0,"",$AN52/($AO52*2))</f>
        <v/>
      </c>
      <c r="W52" s="17">
        <f>IF($A52="","",COUNTIFS(質問リスト!$A$4:$A$303,$A52,質問リスト!$O$4:$O$303,"&lt;&gt;解決"))</f>
        <v/>
      </c>
      <c r="X52" s="23" t="n"/>
      <c r="Y52" s="20" t="n"/>
      <c r="Z52" s="22" t="n"/>
      <c r="AA52" s="22" t="n"/>
      <c r="AB52" s="20" t="n"/>
      <c r="AC52" s="20" t="n"/>
      <c r="AD52" s="22" t="n"/>
      <c r="AE52" s="23" t="n"/>
      <c r="AF52" s="23" t="n"/>
      <c r="AG52" s="23" t="n"/>
      <c r="AH52" s="24" t="n"/>
      <c r="AI52" s="24" t="n"/>
      <c r="AJ52" s="17">
        <f>IF($H52="","",IF($H52&lt;300,"下限未満（対象外）",IF($H52&gt;3000,"上限超（対象外）","範囲内")))</f>
        <v/>
      </c>
      <c r="AK52" s="15">
        <f>IF(OR($E52="",$F52="",$AH52="",$F52&lt;=0),"",($E52-$AH52)/$F52)</f>
        <v/>
      </c>
      <c r="AL52" s="23" t="n"/>
      <c r="AM52" s="20" t="n"/>
      <c r="AN52" s="21">
        <f>COUNTIF($I52:$T52,"◯")*2+COUNTIF($I52:$T52,"△〜◯")*1.5+COUNTIF($I52:$T52,"△")*1+COUNTIF($I52:$T52,"×〜△")*0.5</f>
        <v/>
      </c>
      <c r="AO52" s="17">
        <f>COUNTIF($I52:$T52,"◯")+COUNTIF($I52:$T52,"△〜◯")+COUNTIF($I52:$T52,"△")+COUNTIF($I52:$T52,"×〜△")+COUNTIF($I52:$T52,"×")</f>
        <v/>
      </c>
      <c r="AP52" s="17">
        <f>COUNTIF($I52:$T52,"×")</f>
        <v/>
      </c>
      <c r="AQ52" s="17">
        <f>COUNTIF($I52,"×")+COUNTIF($J52,"×")+COUNTIF($L52,"×")+COUNTIF($O52,"×")</f>
        <v/>
      </c>
    </row>
    <row r="53">
      <c r="A53" s="23" t="n"/>
      <c r="B53" s="23" t="n"/>
      <c r="C53" s="20" t="n"/>
      <c r="D53" s="23" t="n"/>
      <c r="E53" s="24" t="n"/>
      <c r="F53" s="24" t="n"/>
      <c r="G53" s="15">
        <f>IF(OR($E53="",$F53="",$AH53="",$AI53="",$F53&lt;=0),"",($E53-($AH53-$AI53))/$F53)</f>
        <v/>
      </c>
      <c r="H53" s="24" t="n"/>
      <c r="I53" s="25" t="n"/>
      <c r="J53" s="25" t="n"/>
      <c r="K53" s="25" t="n"/>
      <c r="L53" s="25" t="n"/>
      <c r="M53" s="25" t="n"/>
      <c r="N53" s="25" t="n"/>
      <c r="O53" s="25" t="n"/>
      <c r="P53" s="25" t="n"/>
      <c r="Q53" s="25" t="n"/>
      <c r="R53" s="25" t="n"/>
      <c r="S53" s="25" t="n"/>
      <c r="T53" s="25" t="n"/>
      <c r="U53" s="17">
        <f>IF($AO53=0,"",IF($AQ53&gt;0,"C：見送り（Must×）",IF($AP53&gt;=2,"C：見送り（×2件以上）",IF($AO53&lt;6,"B：追加情報を取得",IF(AND($AP53=0,$AN53/($AO53*2)&gt;=0.75),"A：進める","B：追加情報を取得")))))</f>
        <v/>
      </c>
      <c r="V53" s="18">
        <f>IF($AO53=0,"",$AN53/($AO53*2))</f>
        <v/>
      </c>
      <c r="W53" s="17">
        <f>IF($A53="","",COUNTIFS(質問リスト!$A$4:$A$303,$A53,質問リスト!$O$4:$O$303,"&lt;&gt;解決"))</f>
        <v/>
      </c>
      <c r="X53" s="23" t="n"/>
      <c r="Y53" s="20" t="n"/>
      <c r="Z53" s="22" t="n"/>
      <c r="AA53" s="22" t="n"/>
      <c r="AB53" s="20" t="n"/>
      <c r="AC53" s="20" t="n"/>
      <c r="AD53" s="22" t="n"/>
      <c r="AE53" s="23" t="n"/>
      <c r="AF53" s="23" t="n"/>
      <c r="AG53" s="23" t="n"/>
      <c r="AH53" s="24" t="n"/>
      <c r="AI53" s="24" t="n"/>
      <c r="AJ53" s="17">
        <f>IF($H53="","",IF($H53&lt;300,"下限未満（対象外）",IF($H53&gt;3000,"上限超（対象外）","範囲内")))</f>
        <v/>
      </c>
      <c r="AK53" s="15">
        <f>IF(OR($E53="",$F53="",$AH53="",$F53&lt;=0),"",($E53-$AH53)/$F53)</f>
        <v/>
      </c>
      <c r="AL53" s="23" t="n"/>
      <c r="AM53" s="20" t="n"/>
      <c r="AN53" s="21">
        <f>COUNTIF($I53:$T53,"◯")*2+COUNTIF($I53:$T53,"△〜◯")*1.5+COUNTIF($I53:$T53,"△")*1+COUNTIF($I53:$T53,"×〜△")*0.5</f>
        <v/>
      </c>
      <c r="AO53" s="17">
        <f>COUNTIF($I53:$T53,"◯")+COUNTIF($I53:$T53,"△〜◯")+COUNTIF($I53:$T53,"△")+COUNTIF($I53:$T53,"×〜△")+COUNTIF($I53:$T53,"×")</f>
        <v/>
      </c>
      <c r="AP53" s="17">
        <f>COUNTIF($I53:$T53,"×")</f>
        <v/>
      </c>
      <c r="AQ53" s="17">
        <f>COUNTIF($I53,"×")+COUNTIF($J53,"×")+COUNTIF($L53,"×")+COUNTIF($O53,"×")</f>
        <v/>
      </c>
    </row>
    <row r="54">
      <c r="A54" s="23" t="n"/>
      <c r="B54" s="23" t="n"/>
      <c r="C54" s="20" t="n"/>
      <c r="D54" s="23" t="n"/>
      <c r="E54" s="24" t="n"/>
      <c r="F54" s="24" t="n"/>
      <c r="G54" s="15">
        <f>IF(OR($E54="",$F54="",$AH54="",$AI54="",$F54&lt;=0),"",($E54-($AH54-$AI54))/$F54)</f>
        <v/>
      </c>
      <c r="H54" s="24" t="n"/>
      <c r="I54" s="25" t="n"/>
      <c r="J54" s="25" t="n"/>
      <c r="K54" s="25" t="n"/>
      <c r="L54" s="25" t="n"/>
      <c r="M54" s="25" t="n"/>
      <c r="N54" s="25" t="n"/>
      <c r="O54" s="25" t="n"/>
      <c r="P54" s="25" t="n"/>
      <c r="Q54" s="25" t="n"/>
      <c r="R54" s="25" t="n"/>
      <c r="S54" s="25" t="n"/>
      <c r="T54" s="25" t="n"/>
      <c r="U54" s="17">
        <f>IF($AO54=0,"",IF($AQ54&gt;0,"C：見送り（Must×）",IF($AP54&gt;=2,"C：見送り（×2件以上）",IF($AO54&lt;6,"B：追加情報を取得",IF(AND($AP54=0,$AN54/($AO54*2)&gt;=0.75),"A：進める","B：追加情報を取得")))))</f>
        <v/>
      </c>
      <c r="V54" s="18">
        <f>IF($AO54=0,"",$AN54/($AO54*2))</f>
        <v/>
      </c>
      <c r="W54" s="17">
        <f>IF($A54="","",COUNTIFS(質問リスト!$A$4:$A$303,$A54,質問リスト!$O$4:$O$303,"&lt;&gt;解決"))</f>
        <v/>
      </c>
      <c r="X54" s="23" t="n"/>
      <c r="Y54" s="20" t="n"/>
      <c r="Z54" s="22" t="n"/>
      <c r="AA54" s="22" t="n"/>
      <c r="AB54" s="20" t="n"/>
      <c r="AC54" s="20" t="n"/>
      <c r="AD54" s="22" t="n"/>
      <c r="AE54" s="23" t="n"/>
      <c r="AF54" s="23" t="n"/>
      <c r="AG54" s="23" t="n"/>
      <c r="AH54" s="24" t="n"/>
      <c r="AI54" s="24" t="n"/>
      <c r="AJ54" s="17">
        <f>IF($H54="","",IF($H54&lt;300,"下限未満（対象外）",IF($H54&gt;3000,"上限超（対象外）","範囲内")))</f>
        <v/>
      </c>
      <c r="AK54" s="15">
        <f>IF(OR($E54="",$F54="",$AH54="",$F54&lt;=0),"",($E54-$AH54)/$F54)</f>
        <v/>
      </c>
      <c r="AL54" s="23" t="n"/>
      <c r="AM54" s="20" t="n"/>
      <c r="AN54" s="21">
        <f>COUNTIF($I54:$T54,"◯")*2+COUNTIF($I54:$T54,"△〜◯")*1.5+COUNTIF($I54:$T54,"△")*1+COUNTIF($I54:$T54,"×〜△")*0.5</f>
        <v/>
      </c>
      <c r="AO54" s="17">
        <f>COUNTIF($I54:$T54,"◯")+COUNTIF($I54:$T54,"△〜◯")+COUNTIF($I54:$T54,"△")+COUNTIF($I54:$T54,"×〜△")+COUNTIF($I54:$T54,"×")</f>
        <v/>
      </c>
      <c r="AP54" s="17">
        <f>COUNTIF($I54:$T54,"×")</f>
        <v/>
      </c>
      <c r="AQ54" s="17">
        <f>COUNTIF($I54,"×")+COUNTIF($J54,"×")+COUNTIF($L54,"×")+COUNTIF($O54,"×")</f>
        <v/>
      </c>
    </row>
    <row r="55">
      <c r="A55" s="23" t="n"/>
      <c r="B55" s="23" t="n"/>
      <c r="C55" s="20" t="n"/>
      <c r="D55" s="23" t="n"/>
      <c r="E55" s="24" t="n"/>
      <c r="F55" s="24" t="n"/>
      <c r="G55" s="15">
        <f>IF(OR($E55="",$F55="",$AH55="",$AI55="",$F55&lt;=0),"",($E55-($AH55-$AI55))/$F55)</f>
        <v/>
      </c>
      <c r="H55" s="24" t="n"/>
      <c r="I55" s="25" t="n"/>
      <c r="J55" s="25" t="n"/>
      <c r="K55" s="25" t="n"/>
      <c r="L55" s="25" t="n"/>
      <c r="M55" s="25" t="n"/>
      <c r="N55" s="25" t="n"/>
      <c r="O55" s="25" t="n"/>
      <c r="P55" s="25" t="n"/>
      <c r="Q55" s="25" t="n"/>
      <c r="R55" s="25" t="n"/>
      <c r="S55" s="25" t="n"/>
      <c r="T55" s="25" t="n"/>
      <c r="U55" s="17">
        <f>IF($AO55=0,"",IF($AQ55&gt;0,"C：見送り（Must×）",IF($AP55&gt;=2,"C：見送り（×2件以上）",IF($AO55&lt;6,"B：追加情報を取得",IF(AND($AP55=0,$AN55/($AO55*2)&gt;=0.75),"A：進める","B：追加情報を取得")))))</f>
        <v/>
      </c>
      <c r="V55" s="18">
        <f>IF($AO55=0,"",$AN55/($AO55*2))</f>
        <v/>
      </c>
      <c r="W55" s="17">
        <f>IF($A55="","",COUNTIFS(質問リスト!$A$4:$A$303,$A55,質問リスト!$O$4:$O$303,"&lt;&gt;解決"))</f>
        <v/>
      </c>
      <c r="X55" s="23" t="n"/>
      <c r="Y55" s="20" t="n"/>
      <c r="Z55" s="22" t="n"/>
      <c r="AA55" s="22" t="n"/>
      <c r="AB55" s="20" t="n"/>
      <c r="AC55" s="20" t="n"/>
      <c r="AD55" s="22" t="n"/>
      <c r="AE55" s="23" t="n"/>
      <c r="AF55" s="23" t="n"/>
      <c r="AG55" s="23" t="n"/>
      <c r="AH55" s="24" t="n"/>
      <c r="AI55" s="24" t="n"/>
      <c r="AJ55" s="17">
        <f>IF($H55="","",IF($H55&lt;300,"下限未満（対象外）",IF($H55&gt;3000,"上限超（対象外）","範囲内")))</f>
        <v/>
      </c>
      <c r="AK55" s="15">
        <f>IF(OR($E55="",$F55="",$AH55="",$F55&lt;=0),"",($E55-$AH55)/$F55)</f>
        <v/>
      </c>
      <c r="AL55" s="23" t="n"/>
      <c r="AM55" s="20" t="n"/>
      <c r="AN55" s="21">
        <f>COUNTIF($I55:$T55,"◯")*2+COUNTIF($I55:$T55,"△〜◯")*1.5+COUNTIF($I55:$T55,"△")*1+COUNTIF($I55:$T55,"×〜△")*0.5</f>
        <v/>
      </c>
      <c r="AO55" s="17">
        <f>COUNTIF($I55:$T55,"◯")+COUNTIF($I55:$T55,"△〜◯")+COUNTIF($I55:$T55,"△")+COUNTIF($I55:$T55,"×〜△")+COUNTIF($I55:$T55,"×")</f>
        <v/>
      </c>
      <c r="AP55" s="17">
        <f>COUNTIF($I55:$T55,"×")</f>
        <v/>
      </c>
      <c r="AQ55" s="17">
        <f>COUNTIF($I55,"×")+COUNTIF($J55,"×")+COUNTIF($L55,"×")+COUNTIF($O55,"×")</f>
        <v/>
      </c>
    </row>
    <row r="56">
      <c r="A56" s="23" t="n"/>
      <c r="B56" s="23" t="n"/>
      <c r="C56" s="20" t="n"/>
      <c r="D56" s="23" t="n"/>
      <c r="E56" s="24" t="n"/>
      <c r="F56" s="24" t="n"/>
      <c r="G56" s="15">
        <f>IF(OR($E56="",$F56="",$AH56="",$AI56="",$F56&lt;=0),"",($E56-($AH56-$AI56))/$F56)</f>
        <v/>
      </c>
      <c r="H56" s="24" t="n"/>
      <c r="I56" s="25" t="n"/>
      <c r="J56" s="25" t="n"/>
      <c r="K56" s="25" t="n"/>
      <c r="L56" s="25" t="n"/>
      <c r="M56" s="25" t="n"/>
      <c r="N56" s="25" t="n"/>
      <c r="O56" s="25" t="n"/>
      <c r="P56" s="25" t="n"/>
      <c r="Q56" s="25" t="n"/>
      <c r="R56" s="25" t="n"/>
      <c r="S56" s="25" t="n"/>
      <c r="T56" s="25" t="n"/>
      <c r="U56" s="17">
        <f>IF($AO56=0,"",IF($AQ56&gt;0,"C：見送り（Must×）",IF($AP56&gt;=2,"C：見送り（×2件以上）",IF($AO56&lt;6,"B：追加情報を取得",IF(AND($AP56=0,$AN56/($AO56*2)&gt;=0.75),"A：進める","B：追加情報を取得")))))</f>
        <v/>
      </c>
      <c r="V56" s="18">
        <f>IF($AO56=0,"",$AN56/($AO56*2))</f>
        <v/>
      </c>
      <c r="W56" s="17">
        <f>IF($A56="","",COUNTIFS(質問リスト!$A$4:$A$303,$A56,質問リスト!$O$4:$O$303,"&lt;&gt;解決"))</f>
        <v/>
      </c>
      <c r="X56" s="23" t="n"/>
      <c r="Y56" s="20" t="n"/>
      <c r="Z56" s="22" t="n"/>
      <c r="AA56" s="22" t="n"/>
      <c r="AB56" s="20" t="n"/>
      <c r="AC56" s="20" t="n"/>
      <c r="AD56" s="22" t="n"/>
      <c r="AE56" s="23" t="n"/>
      <c r="AF56" s="23" t="n"/>
      <c r="AG56" s="23" t="n"/>
      <c r="AH56" s="24" t="n"/>
      <c r="AI56" s="24" t="n"/>
      <c r="AJ56" s="17">
        <f>IF($H56="","",IF($H56&lt;300,"下限未満（対象外）",IF($H56&gt;3000,"上限超（対象外）","範囲内")))</f>
        <v/>
      </c>
      <c r="AK56" s="15">
        <f>IF(OR($E56="",$F56="",$AH56="",$F56&lt;=0),"",($E56-$AH56)/$F56)</f>
        <v/>
      </c>
      <c r="AL56" s="23" t="n"/>
      <c r="AM56" s="20" t="n"/>
      <c r="AN56" s="21">
        <f>COUNTIF($I56:$T56,"◯")*2+COUNTIF($I56:$T56,"△〜◯")*1.5+COUNTIF($I56:$T56,"△")*1+COUNTIF($I56:$T56,"×〜△")*0.5</f>
        <v/>
      </c>
      <c r="AO56" s="17">
        <f>COUNTIF($I56:$T56,"◯")+COUNTIF($I56:$T56,"△〜◯")+COUNTIF($I56:$T56,"△")+COUNTIF($I56:$T56,"×〜△")+COUNTIF($I56:$T56,"×")</f>
        <v/>
      </c>
      <c r="AP56" s="17">
        <f>COUNTIF($I56:$T56,"×")</f>
        <v/>
      </c>
      <c r="AQ56" s="17">
        <f>COUNTIF($I56,"×")+COUNTIF($J56,"×")+COUNTIF($L56,"×")+COUNTIF($O56,"×")</f>
        <v/>
      </c>
    </row>
    <row r="57">
      <c r="A57" s="23" t="n"/>
      <c r="B57" s="23" t="n"/>
      <c r="C57" s="20" t="n"/>
      <c r="D57" s="23" t="n"/>
      <c r="E57" s="24" t="n"/>
      <c r="F57" s="24" t="n"/>
      <c r="G57" s="15">
        <f>IF(OR($E57="",$F57="",$AH57="",$AI57="",$F57&lt;=0),"",($E57-($AH57-$AI57))/$F57)</f>
        <v/>
      </c>
      <c r="H57" s="24" t="n"/>
      <c r="I57" s="25" t="n"/>
      <c r="J57" s="25" t="n"/>
      <c r="K57" s="25" t="n"/>
      <c r="L57" s="25" t="n"/>
      <c r="M57" s="25" t="n"/>
      <c r="N57" s="25" t="n"/>
      <c r="O57" s="25" t="n"/>
      <c r="P57" s="25" t="n"/>
      <c r="Q57" s="25" t="n"/>
      <c r="R57" s="25" t="n"/>
      <c r="S57" s="25" t="n"/>
      <c r="T57" s="25" t="n"/>
      <c r="U57" s="17">
        <f>IF($AO57=0,"",IF($AQ57&gt;0,"C：見送り（Must×）",IF($AP57&gt;=2,"C：見送り（×2件以上）",IF($AO57&lt;6,"B：追加情報を取得",IF(AND($AP57=0,$AN57/($AO57*2)&gt;=0.75),"A：進める","B：追加情報を取得")))))</f>
        <v/>
      </c>
      <c r="V57" s="18">
        <f>IF($AO57=0,"",$AN57/($AO57*2))</f>
        <v/>
      </c>
      <c r="W57" s="17">
        <f>IF($A57="","",COUNTIFS(質問リスト!$A$4:$A$303,$A57,質問リスト!$O$4:$O$303,"&lt;&gt;解決"))</f>
        <v/>
      </c>
      <c r="X57" s="23" t="n"/>
      <c r="Y57" s="20" t="n"/>
      <c r="Z57" s="22" t="n"/>
      <c r="AA57" s="22" t="n"/>
      <c r="AB57" s="20" t="n"/>
      <c r="AC57" s="20" t="n"/>
      <c r="AD57" s="22" t="n"/>
      <c r="AE57" s="23" t="n"/>
      <c r="AF57" s="23" t="n"/>
      <c r="AG57" s="23" t="n"/>
      <c r="AH57" s="24" t="n"/>
      <c r="AI57" s="24" t="n"/>
      <c r="AJ57" s="17">
        <f>IF($H57="","",IF($H57&lt;300,"下限未満（対象外）",IF($H57&gt;3000,"上限超（対象外）","範囲内")))</f>
        <v/>
      </c>
      <c r="AK57" s="15">
        <f>IF(OR($E57="",$F57="",$AH57="",$F57&lt;=0),"",($E57-$AH57)/$F57)</f>
        <v/>
      </c>
      <c r="AL57" s="23" t="n"/>
      <c r="AM57" s="20" t="n"/>
      <c r="AN57" s="21">
        <f>COUNTIF($I57:$T57,"◯")*2+COUNTIF($I57:$T57,"△〜◯")*1.5+COUNTIF($I57:$T57,"△")*1+COUNTIF($I57:$T57,"×〜△")*0.5</f>
        <v/>
      </c>
      <c r="AO57" s="17">
        <f>COUNTIF($I57:$T57,"◯")+COUNTIF($I57:$T57,"△〜◯")+COUNTIF($I57:$T57,"△")+COUNTIF($I57:$T57,"×〜△")+COUNTIF($I57:$T57,"×")</f>
        <v/>
      </c>
      <c r="AP57" s="17">
        <f>COUNTIF($I57:$T57,"×")</f>
        <v/>
      </c>
      <c r="AQ57" s="17">
        <f>COUNTIF($I57,"×")+COUNTIF($J57,"×")+COUNTIF($L57,"×")+COUNTIF($O57,"×")</f>
        <v/>
      </c>
    </row>
    <row r="58">
      <c r="A58" s="23" t="n"/>
      <c r="B58" s="23" t="n"/>
      <c r="C58" s="20" t="n"/>
      <c r="D58" s="23" t="n"/>
      <c r="E58" s="24" t="n"/>
      <c r="F58" s="24" t="n"/>
      <c r="G58" s="15">
        <f>IF(OR($E58="",$F58="",$AH58="",$AI58="",$F58&lt;=0),"",($E58-($AH58-$AI58))/$F58)</f>
        <v/>
      </c>
      <c r="H58" s="24" t="n"/>
      <c r="I58" s="25" t="n"/>
      <c r="J58" s="25" t="n"/>
      <c r="K58" s="25" t="n"/>
      <c r="L58" s="25" t="n"/>
      <c r="M58" s="25" t="n"/>
      <c r="N58" s="25" t="n"/>
      <c r="O58" s="25" t="n"/>
      <c r="P58" s="25" t="n"/>
      <c r="Q58" s="25" t="n"/>
      <c r="R58" s="25" t="n"/>
      <c r="S58" s="25" t="n"/>
      <c r="T58" s="25" t="n"/>
      <c r="U58" s="17">
        <f>IF($AO58=0,"",IF($AQ58&gt;0,"C：見送り（Must×）",IF($AP58&gt;=2,"C：見送り（×2件以上）",IF($AO58&lt;6,"B：追加情報を取得",IF(AND($AP58=0,$AN58/($AO58*2)&gt;=0.75),"A：進める","B：追加情報を取得")))))</f>
        <v/>
      </c>
      <c r="V58" s="18">
        <f>IF($AO58=0,"",$AN58/($AO58*2))</f>
        <v/>
      </c>
      <c r="W58" s="17">
        <f>IF($A58="","",COUNTIFS(質問リスト!$A$4:$A$303,$A58,質問リスト!$O$4:$O$303,"&lt;&gt;解決"))</f>
        <v/>
      </c>
      <c r="X58" s="23" t="n"/>
      <c r="Y58" s="20" t="n"/>
      <c r="Z58" s="22" t="n"/>
      <c r="AA58" s="22" t="n"/>
      <c r="AB58" s="20" t="n"/>
      <c r="AC58" s="20" t="n"/>
      <c r="AD58" s="22" t="n"/>
      <c r="AE58" s="23" t="n"/>
      <c r="AF58" s="23" t="n"/>
      <c r="AG58" s="23" t="n"/>
      <c r="AH58" s="24" t="n"/>
      <c r="AI58" s="24" t="n"/>
      <c r="AJ58" s="17">
        <f>IF($H58="","",IF($H58&lt;300,"下限未満（対象外）",IF($H58&gt;3000,"上限超（対象外）","範囲内")))</f>
        <v/>
      </c>
      <c r="AK58" s="15">
        <f>IF(OR($E58="",$F58="",$AH58="",$F58&lt;=0),"",($E58-$AH58)/$F58)</f>
        <v/>
      </c>
      <c r="AL58" s="23" t="n"/>
      <c r="AM58" s="20" t="n"/>
      <c r="AN58" s="21">
        <f>COUNTIF($I58:$T58,"◯")*2+COUNTIF($I58:$T58,"△〜◯")*1.5+COUNTIF($I58:$T58,"△")*1+COUNTIF($I58:$T58,"×〜△")*0.5</f>
        <v/>
      </c>
      <c r="AO58" s="17">
        <f>COUNTIF($I58:$T58,"◯")+COUNTIF($I58:$T58,"△〜◯")+COUNTIF($I58:$T58,"△")+COUNTIF($I58:$T58,"×〜△")+COUNTIF($I58:$T58,"×")</f>
        <v/>
      </c>
      <c r="AP58" s="17">
        <f>COUNTIF($I58:$T58,"×")</f>
        <v/>
      </c>
      <c r="AQ58" s="17">
        <f>COUNTIF($I58,"×")+COUNTIF($J58,"×")+COUNTIF($L58,"×")+COUNTIF($O58,"×")</f>
        <v/>
      </c>
    </row>
    <row r="59">
      <c r="A59" s="23" t="n"/>
      <c r="B59" s="23" t="n"/>
      <c r="C59" s="20" t="n"/>
      <c r="D59" s="23" t="n"/>
      <c r="E59" s="24" t="n"/>
      <c r="F59" s="24" t="n"/>
      <c r="G59" s="15">
        <f>IF(OR($E59="",$F59="",$AH59="",$AI59="",$F59&lt;=0),"",($E59-($AH59-$AI59))/$F59)</f>
        <v/>
      </c>
      <c r="H59" s="24" t="n"/>
      <c r="I59" s="25" t="n"/>
      <c r="J59" s="25" t="n"/>
      <c r="K59" s="25" t="n"/>
      <c r="L59" s="25" t="n"/>
      <c r="M59" s="25" t="n"/>
      <c r="N59" s="25" t="n"/>
      <c r="O59" s="25" t="n"/>
      <c r="P59" s="25" t="n"/>
      <c r="Q59" s="25" t="n"/>
      <c r="R59" s="25" t="n"/>
      <c r="S59" s="25" t="n"/>
      <c r="T59" s="25" t="n"/>
      <c r="U59" s="17">
        <f>IF($AO59=0,"",IF($AQ59&gt;0,"C：見送り（Must×）",IF($AP59&gt;=2,"C：見送り（×2件以上）",IF($AO59&lt;6,"B：追加情報を取得",IF(AND($AP59=0,$AN59/($AO59*2)&gt;=0.75),"A：進める","B：追加情報を取得")))))</f>
        <v/>
      </c>
      <c r="V59" s="18">
        <f>IF($AO59=0,"",$AN59/($AO59*2))</f>
        <v/>
      </c>
      <c r="W59" s="17">
        <f>IF($A59="","",COUNTIFS(質問リスト!$A$4:$A$303,$A59,質問リスト!$O$4:$O$303,"&lt;&gt;解決"))</f>
        <v/>
      </c>
      <c r="X59" s="23" t="n"/>
      <c r="Y59" s="20" t="n"/>
      <c r="Z59" s="22" t="n"/>
      <c r="AA59" s="22" t="n"/>
      <c r="AB59" s="20" t="n"/>
      <c r="AC59" s="20" t="n"/>
      <c r="AD59" s="22" t="n"/>
      <c r="AE59" s="23" t="n"/>
      <c r="AF59" s="23" t="n"/>
      <c r="AG59" s="23" t="n"/>
      <c r="AH59" s="24" t="n"/>
      <c r="AI59" s="24" t="n"/>
      <c r="AJ59" s="17">
        <f>IF($H59="","",IF($H59&lt;300,"下限未満（対象外）",IF($H59&gt;3000,"上限超（対象外）","範囲内")))</f>
        <v/>
      </c>
      <c r="AK59" s="15">
        <f>IF(OR($E59="",$F59="",$AH59="",$F59&lt;=0),"",($E59-$AH59)/$F59)</f>
        <v/>
      </c>
      <c r="AL59" s="23" t="n"/>
      <c r="AM59" s="20" t="n"/>
      <c r="AN59" s="21">
        <f>COUNTIF($I59:$T59,"◯")*2+COUNTIF($I59:$T59,"△〜◯")*1.5+COUNTIF($I59:$T59,"△")*1+COUNTIF($I59:$T59,"×〜△")*0.5</f>
        <v/>
      </c>
      <c r="AO59" s="17">
        <f>COUNTIF($I59:$T59,"◯")+COUNTIF($I59:$T59,"△〜◯")+COUNTIF($I59:$T59,"△")+COUNTIF($I59:$T59,"×〜△")+COUNTIF($I59:$T59,"×")</f>
        <v/>
      </c>
      <c r="AP59" s="17">
        <f>COUNTIF($I59:$T59,"×")</f>
        <v/>
      </c>
      <c r="AQ59" s="17">
        <f>COUNTIF($I59,"×")+COUNTIF($J59,"×")+COUNTIF($L59,"×")+COUNTIF($O59,"×")</f>
        <v/>
      </c>
    </row>
    <row r="60">
      <c r="A60" s="23" t="n"/>
      <c r="B60" s="23" t="n"/>
      <c r="C60" s="20" t="n"/>
      <c r="D60" s="23" t="n"/>
      <c r="E60" s="24" t="n"/>
      <c r="F60" s="24" t="n"/>
      <c r="G60" s="15">
        <f>IF(OR($E60="",$F60="",$AH60="",$AI60="",$F60&lt;=0),"",($E60-($AH60-$AI60))/$F60)</f>
        <v/>
      </c>
      <c r="H60" s="24" t="n"/>
      <c r="I60" s="25" t="n"/>
      <c r="J60" s="25" t="n"/>
      <c r="K60" s="25" t="n"/>
      <c r="L60" s="25" t="n"/>
      <c r="M60" s="25" t="n"/>
      <c r="N60" s="25" t="n"/>
      <c r="O60" s="25" t="n"/>
      <c r="P60" s="25" t="n"/>
      <c r="Q60" s="25" t="n"/>
      <c r="R60" s="25" t="n"/>
      <c r="S60" s="25" t="n"/>
      <c r="T60" s="25" t="n"/>
      <c r="U60" s="17">
        <f>IF($AO60=0,"",IF($AQ60&gt;0,"C：見送り（Must×）",IF($AP60&gt;=2,"C：見送り（×2件以上）",IF($AO60&lt;6,"B：追加情報を取得",IF(AND($AP60=0,$AN60/($AO60*2)&gt;=0.75),"A：進める","B：追加情報を取得")))))</f>
        <v/>
      </c>
      <c r="V60" s="18">
        <f>IF($AO60=0,"",$AN60/($AO60*2))</f>
        <v/>
      </c>
      <c r="W60" s="17">
        <f>IF($A60="","",COUNTIFS(質問リスト!$A$4:$A$303,$A60,質問リスト!$O$4:$O$303,"&lt;&gt;解決"))</f>
        <v/>
      </c>
      <c r="X60" s="23" t="n"/>
      <c r="Y60" s="20" t="n"/>
      <c r="Z60" s="22" t="n"/>
      <c r="AA60" s="22" t="n"/>
      <c r="AB60" s="20" t="n"/>
      <c r="AC60" s="20" t="n"/>
      <c r="AD60" s="22" t="n"/>
      <c r="AE60" s="23" t="n"/>
      <c r="AF60" s="23" t="n"/>
      <c r="AG60" s="23" t="n"/>
      <c r="AH60" s="24" t="n"/>
      <c r="AI60" s="24" t="n"/>
      <c r="AJ60" s="17">
        <f>IF($H60="","",IF($H60&lt;300,"下限未満（対象外）",IF($H60&gt;3000,"上限超（対象外）","範囲内")))</f>
        <v/>
      </c>
      <c r="AK60" s="15">
        <f>IF(OR($E60="",$F60="",$AH60="",$F60&lt;=0),"",($E60-$AH60)/$F60)</f>
        <v/>
      </c>
      <c r="AL60" s="23" t="n"/>
      <c r="AM60" s="20" t="n"/>
      <c r="AN60" s="21">
        <f>COUNTIF($I60:$T60,"◯")*2+COUNTIF($I60:$T60,"△〜◯")*1.5+COUNTIF($I60:$T60,"△")*1+COUNTIF($I60:$T60,"×〜△")*0.5</f>
        <v/>
      </c>
      <c r="AO60" s="17">
        <f>COUNTIF($I60:$T60,"◯")+COUNTIF($I60:$T60,"△〜◯")+COUNTIF($I60:$T60,"△")+COUNTIF($I60:$T60,"×〜△")+COUNTIF($I60:$T60,"×")</f>
        <v/>
      </c>
      <c r="AP60" s="17">
        <f>COUNTIF($I60:$T60,"×")</f>
        <v/>
      </c>
      <c r="AQ60" s="17">
        <f>COUNTIF($I60,"×")+COUNTIF($J60,"×")+COUNTIF($L60,"×")+COUNTIF($O60,"×")</f>
        <v/>
      </c>
    </row>
    <row r="61">
      <c r="A61" s="23" t="n"/>
      <c r="B61" s="23" t="n"/>
      <c r="C61" s="20" t="n"/>
      <c r="D61" s="23" t="n"/>
      <c r="E61" s="24" t="n"/>
      <c r="F61" s="24" t="n"/>
      <c r="G61" s="15">
        <f>IF(OR($E61="",$F61="",$AH61="",$AI61="",$F61&lt;=0),"",($E61-($AH61-$AI61))/$F61)</f>
        <v/>
      </c>
      <c r="H61" s="24" t="n"/>
      <c r="I61" s="25" t="n"/>
      <c r="J61" s="25" t="n"/>
      <c r="K61" s="25" t="n"/>
      <c r="L61" s="25" t="n"/>
      <c r="M61" s="25" t="n"/>
      <c r="N61" s="25" t="n"/>
      <c r="O61" s="25" t="n"/>
      <c r="P61" s="25" t="n"/>
      <c r="Q61" s="25" t="n"/>
      <c r="R61" s="25" t="n"/>
      <c r="S61" s="25" t="n"/>
      <c r="T61" s="25" t="n"/>
      <c r="U61" s="17">
        <f>IF($AO61=0,"",IF($AQ61&gt;0,"C：見送り（Must×）",IF($AP61&gt;=2,"C：見送り（×2件以上）",IF($AO61&lt;6,"B：追加情報を取得",IF(AND($AP61=0,$AN61/($AO61*2)&gt;=0.75),"A：進める","B：追加情報を取得")))))</f>
        <v/>
      </c>
      <c r="V61" s="18">
        <f>IF($AO61=0,"",$AN61/($AO61*2))</f>
        <v/>
      </c>
      <c r="W61" s="17">
        <f>IF($A61="","",COUNTIFS(質問リスト!$A$4:$A$303,$A61,質問リスト!$O$4:$O$303,"&lt;&gt;解決"))</f>
        <v/>
      </c>
      <c r="X61" s="23" t="n"/>
      <c r="Y61" s="20" t="n"/>
      <c r="Z61" s="22" t="n"/>
      <c r="AA61" s="22" t="n"/>
      <c r="AB61" s="20" t="n"/>
      <c r="AC61" s="20" t="n"/>
      <c r="AD61" s="22" t="n"/>
      <c r="AE61" s="23" t="n"/>
      <c r="AF61" s="23" t="n"/>
      <c r="AG61" s="23" t="n"/>
      <c r="AH61" s="24" t="n"/>
      <c r="AI61" s="24" t="n"/>
      <c r="AJ61" s="17">
        <f>IF($H61="","",IF($H61&lt;300,"下限未満（対象外）",IF($H61&gt;3000,"上限超（対象外）","範囲内")))</f>
        <v/>
      </c>
      <c r="AK61" s="15">
        <f>IF(OR($E61="",$F61="",$AH61="",$F61&lt;=0),"",($E61-$AH61)/$F61)</f>
        <v/>
      </c>
      <c r="AL61" s="23" t="n"/>
      <c r="AM61" s="20" t="n"/>
      <c r="AN61" s="21">
        <f>COUNTIF($I61:$T61,"◯")*2+COUNTIF($I61:$T61,"△〜◯")*1.5+COUNTIF($I61:$T61,"△")*1+COUNTIF($I61:$T61,"×〜△")*0.5</f>
        <v/>
      </c>
      <c r="AO61" s="17">
        <f>COUNTIF($I61:$T61,"◯")+COUNTIF($I61:$T61,"△〜◯")+COUNTIF($I61:$T61,"△")+COUNTIF($I61:$T61,"×〜△")+COUNTIF($I61:$T61,"×")</f>
        <v/>
      </c>
      <c r="AP61" s="17">
        <f>COUNTIF($I61:$T61,"×")</f>
        <v/>
      </c>
      <c r="AQ61" s="17">
        <f>COUNTIF($I61,"×")+COUNTIF($J61,"×")+COUNTIF($L61,"×")+COUNTIF($O61,"×")</f>
        <v/>
      </c>
    </row>
    <row r="62">
      <c r="A62" s="23" t="n"/>
      <c r="B62" s="23" t="n"/>
      <c r="C62" s="20" t="n"/>
      <c r="D62" s="23" t="n"/>
      <c r="E62" s="24" t="n"/>
      <c r="F62" s="24" t="n"/>
      <c r="G62" s="15">
        <f>IF(OR($E62="",$F62="",$AH62="",$AI62="",$F62&lt;=0),"",($E62-($AH62-$AI62))/$F62)</f>
        <v/>
      </c>
      <c r="H62" s="24" t="n"/>
      <c r="I62" s="25" t="n"/>
      <c r="J62" s="25" t="n"/>
      <c r="K62" s="25" t="n"/>
      <c r="L62" s="25" t="n"/>
      <c r="M62" s="25" t="n"/>
      <c r="N62" s="25" t="n"/>
      <c r="O62" s="25" t="n"/>
      <c r="P62" s="25" t="n"/>
      <c r="Q62" s="25" t="n"/>
      <c r="R62" s="25" t="n"/>
      <c r="S62" s="25" t="n"/>
      <c r="T62" s="25" t="n"/>
      <c r="U62" s="17">
        <f>IF($AO62=0,"",IF($AQ62&gt;0,"C：見送り（Must×）",IF($AP62&gt;=2,"C：見送り（×2件以上）",IF($AO62&lt;6,"B：追加情報を取得",IF(AND($AP62=0,$AN62/($AO62*2)&gt;=0.75),"A：進める","B：追加情報を取得")))))</f>
        <v/>
      </c>
      <c r="V62" s="18">
        <f>IF($AO62=0,"",$AN62/($AO62*2))</f>
        <v/>
      </c>
      <c r="W62" s="17">
        <f>IF($A62="","",COUNTIFS(質問リスト!$A$4:$A$303,$A62,質問リスト!$O$4:$O$303,"&lt;&gt;解決"))</f>
        <v/>
      </c>
      <c r="X62" s="23" t="n"/>
      <c r="Y62" s="20" t="n"/>
      <c r="Z62" s="22" t="n"/>
      <c r="AA62" s="22" t="n"/>
      <c r="AB62" s="20" t="n"/>
      <c r="AC62" s="20" t="n"/>
      <c r="AD62" s="22" t="n"/>
      <c r="AE62" s="23" t="n"/>
      <c r="AF62" s="23" t="n"/>
      <c r="AG62" s="23" t="n"/>
      <c r="AH62" s="24" t="n"/>
      <c r="AI62" s="24" t="n"/>
      <c r="AJ62" s="17">
        <f>IF($H62="","",IF($H62&lt;300,"下限未満（対象外）",IF($H62&gt;3000,"上限超（対象外）","範囲内")))</f>
        <v/>
      </c>
      <c r="AK62" s="15">
        <f>IF(OR($E62="",$F62="",$AH62="",$F62&lt;=0),"",($E62-$AH62)/$F62)</f>
        <v/>
      </c>
      <c r="AL62" s="23" t="n"/>
      <c r="AM62" s="20" t="n"/>
      <c r="AN62" s="21">
        <f>COUNTIF($I62:$T62,"◯")*2+COUNTIF($I62:$T62,"△〜◯")*1.5+COUNTIF($I62:$T62,"△")*1+COUNTIF($I62:$T62,"×〜△")*0.5</f>
        <v/>
      </c>
      <c r="AO62" s="17">
        <f>COUNTIF($I62:$T62,"◯")+COUNTIF($I62:$T62,"△〜◯")+COUNTIF($I62:$T62,"△")+COUNTIF($I62:$T62,"×〜△")+COUNTIF($I62:$T62,"×")</f>
        <v/>
      </c>
      <c r="AP62" s="17">
        <f>COUNTIF($I62:$T62,"×")</f>
        <v/>
      </c>
      <c r="AQ62" s="17">
        <f>COUNTIF($I62,"×")+COUNTIF($J62,"×")+COUNTIF($L62,"×")+COUNTIF($O62,"×")</f>
        <v/>
      </c>
    </row>
    <row r="63">
      <c r="A63" s="23" t="n"/>
      <c r="B63" s="23" t="n"/>
      <c r="C63" s="20" t="n"/>
      <c r="D63" s="23" t="n"/>
      <c r="E63" s="24" t="n"/>
      <c r="F63" s="24" t="n"/>
      <c r="G63" s="15">
        <f>IF(OR($E63="",$F63="",$AH63="",$AI63="",$F63&lt;=0),"",($E63-($AH63-$AI63))/$F63)</f>
        <v/>
      </c>
      <c r="H63" s="24" t="n"/>
      <c r="I63" s="25" t="n"/>
      <c r="J63" s="25" t="n"/>
      <c r="K63" s="25" t="n"/>
      <c r="L63" s="25" t="n"/>
      <c r="M63" s="25" t="n"/>
      <c r="N63" s="25" t="n"/>
      <c r="O63" s="25" t="n"/>
      <c r="P63" s="25" t="n"/>
      <c r="Q63" s="25" t="n"/>
      <c r="R63" s="25" t="n"/>
      <c r="S63" s="25" t="n"/>
      <c r="T63" s="25" t="n"/>
      <c r="U63" s="17">
        <f>IF($AO63=0,"",IF($AQ63&gt;0,"C：見送り（Must×）",IF($AP63&gt;=2,"C：見送り（×2件以上）",IF($AO63&lt;6,"B：追加情報を取得",IF(AND($AP63=0,$AN63/($AO63*2)&gt;=0.75),"A：進める","B：追加情報を取得")))))</f>
        <v/>
      </c>
      <c r="V63" s="18">
        <f>IF($AO63=0,"",$AN63/($AO63*2))</f>
        <v/>
      </c>
      <c r="W63" s="17">
        <f>IF($A63="","",COUNTIFS(質問リスト!$A$4:$A$303,$A63,質問リスト!$O$4:$O$303,"&lt;&gt;解決"))</f>
        <v/>
      </c>
      <c r="X63" s="23" t="n"/>
      <c r="Y63" s="20" t="n"/>
      <c r="Z63" s="22" t="n"/>
      <c r="AA63" s="22" t="n"/>
      <c r="AB63" s="20" t="n"/>
      <c r="AC63" s="20" t="n"/>
      <c r="AD63" s="22" t="n"/>
      <c r="AE63" s="23" t="n"/>
      <c r="AF63" s="23" t="n"/>
      <c r="AG63" s="23" t="n"/>
      <c r="AH63" s="24" t="n"/>
      <c r="AI63" s="24" t="n"/>
      <c r="AJ63" s="17">
        <f>IF($H63="","",IF($H63&lt;300,"下限未満（対象外）",IF($H63&gt;3000,"上限超（対象外）","範囲内")))</f>
        <v/>
      </c>
      <c r="AK63" s="15">
        <f>IF(OR($E63="",$F63="",$AH63="",$F63&lt;=0),"",($E63-$AH63)/$F63)</f>
        <v/>
      </c>
      <c r="AL63" s="23" t="n"/>
      <c r="AM63" s="20" t="n"/>
      <c r="AN63" s="21">
        <f>COUNTIF($I63:$T63,"◯")*2+COUNTIF($I63:$T63,"△〜◯")*1.5+COUNTIF($I63:$T63,"△")*1+COUNTIF($I63:$T63,"×〜△")*0.5</f>
        <v/>
      </c>
      <c r="AO63" s="17">
        <f>COUNTIF($I63:$T63,"◯")+COUNTIF($I63:$T63,"△〜◯")+COUNTIF($I63:$T63,"△")+COUNTIF($I63:$T63,"×〜△")+COUNTIF($I63:$T63,"×")</f>
        <v/>
      </c>
      <c r="AP63" s="17">
        <f>COUNTIF($I63:$T63,"×")</f>
        <v/>
      </c>
      <c r="AQ63" s="17">
        <f>COUNTIF($I63,"×")+COUNTIF($J63,"×")+COUNTIF($L63,"×")+COUNTIF($O63,"×")</f>
        <v/>
      </c>
    </row>
    <row r="64">
      <c r="A64" s="23" t="n"/>
      <c r="B64" s="23" t="n"/>
      <c r="C64" s="20" t="n"/>
      <c r="D64" s="23" t="n"/>
      <c r="E64" s="24" t="n"/>
      <c r="F64" s="24" t="n"/>
      <c r="G64" s="15">
        <f>IF(OR($E64="",$F64="",$AH64="",$AI64="",$F64&lt;=0),"",($E64-($AH64-$AI64))/$F64)</f>
        <v/>
      </c>
      <c r="H64" s="24" t="n"/>
      <c r="I64" s="25" t="n"/>
      <c r="J64" s="25" t="n"/>
      <c r="K64" s="25" t="n"/>
      <c r="L64" s="25" t="n"/>
      <c r="M64" s="25" t="n"/>
      <c r="N64" s="25" t="n"/>
      <c r="O64" s="25" t="n"/>
      <c r="P64" s="25" t="n"/>
      <c r="Q64" s="25" t="n"/>
      <c r="R64" s="25" t="n"/>
      <c r="S64" s="25" t="n"/>
      <c r="T64" s="25" t="n"/>
      <c r="U64" s="17">
        <f>IF($AO64=0,"",IF($AQ64&gt;0,"C：見送り（Must×）",IF($AP64&gt;=2,"C：見送り（×2件以上）",IF($AO64&lt;6,"B：追加情報を取得",IF(AND($AP64=0,$AN64/($AO64*2)&gt;=0.75),"A：進める","B：追加情報を取得")))))</f>
        <v/>
      </c>
      <c r="V64" s="18">
        <f>IF($AO64=0,"",$AN64/($AO64*2))</f>
        <v/>
      </c>
      <c r="W64" s="17">
        <f>IF($A64="","",COUNTIFS(質問リスト!$A$4:$A$303,$A64,質問リスト!$O$4:$O$303,"&lt;&gt;解決"))</f>
        <v/>
      </c>
      <c r="X64" s="23" t="n"/>
      <c r="Y64" s="20" t="n"/>
      <c r="Z64" s="22" t="n"/>
      <c r="AA64" s="22" t="n"/>
      <c r="AB64" s="20" t="n"/>
      <c r="AC64" s="20" t="n"/>
      <c r="AD64" s="22" t="n"/>
      <c r="AE64" s="23" t="n"/>
      <c r="AF64" s="23" t="n"/>
      <c r="AG64" s="23" t="n"/>
      <c r="AH64" s="24" t="n"/>
      <c r="AI64" s="24" t="n"/>
      <c r="AJ64" s="17">
        <f>IF($H64="","",IF($H64&lt;300,"下限未満（対象外）",IF($H64&gt;3000,"上限超（対象外）","範囲内")))</f>
        <v/>
      </c>
      <c r="AK64" s="15">
        <f>IF(OR($E64="",$F64="",$AH64="",$F64&lt;=0),"",($E64-$AH64)/$F64)</f>
        <v/>
      </c>
      <c r="AL64" s="23" t="n"/>
      <c r="AM64" s="20" t="n"/>
      <c r="AN64" s="21">
        <f>COUNTIF($I64:$T64,"◯")*2+COUNTIF($I64:$T64,"△〜◯")*1.5+COUNTIF($I64:$T64,"△")*1+COUNTIF($I64:$T64,"×〜△")*0.5</f>
        <v/>
      </c>
      <c r="AO64" s="17">
        <f>COUNTIF($I64:$T64,"◯")+COUNTIF($I64:$T64,"△〜◯")+COUNTIF($I64:$T64,"△")+COUNTIF($I64:$T64,"×〜△")+COUNTIF($I64:$T64,"×")</f>
        <v/>
      </c>
      <c r="AP64" s="17">
        <f>COUNTIF($I64:$T64,"×")</f>
        <v/>
      </c>
      <c r="AQ64" s="17">
        <f>COUNTIF($I64,"×")+COUNTIF($J64,"×")+COUNTIF($L64,"×")+COUNTIF($O64,"×")</f>
        <v/>
      </c>
    </row>
    <row r="65">
      <c r="A65" s="23" t="n"/>
      <c r="B65" s="23" t="n"/>
      <c r="C65" s="20" t="n"/>
      <c r="D65" s="23" t="n"/>
      <c r="E65" s="24" t="n"/>
      <c r="F65" s="24" t="n"/>
      <c r="G65" s="15">
        <f>IF(OR($E65="",$F65="",$AH65="",$AI65="",$F65&lt;=0),"",($E65-($AH65-$AI65))/$F65)</f>
        <v/>
      </c>
      <c r="H65" s="24" t="n"/>
      <c r="I65" s="25" t="n"/>
      <c r="J65" s="25" t="n"/>
      <c r="K65" s="25" t="n"/>
      <c r="L65" s="25" t="n"/>
      <c r="M65" s="25" t="n"/>
      <c r="N65" s="25" t="n"/>
      <c r="O65" s="25" t="n"/>
      <c r="P65" s="25" t="n"/>
      <c r="Q65" s="25" t="n"/>
      <c r="R65" s="25" t="n"/>
      <c r="S65" s="25" t="n"/>
      <c r="T65" s="25" t="n"/>
      <c r="U65" s="17">
        <f>IF($AO65=0,"",IF($AQ65&gt;0,"C：見送り（Must×）",IF($AP65&gt;=2,"C：見送り（×2件以上）",IF($AO65&lt;6,"B：追加情報を取得",IF(AND($AP65=0,$AN65/($AO65*2)&gt;=0.75),"A：進める","B：追加情報を取得")))))</f>
        <v/>
      </c>
      <c r="V65" s="18">
        <f>IF($AO65=0,"",$AN65/($AO65*2))</f>
        <v/>
      </c>
      <c r="W65" s="17">
        <f>IF($A65="","",COUNTIFS(質問リスト!$A$4:$A$303,$A65,質問リスト!$O$4:$O$303,"&lt;&gt;解決"))</f>
        <v/>
      </c>
      <c r="X65" s="23" t="n"/>
      <c r="Y65" s="20" t="n"/>
      <c r="Z65" s="22" t="n"/>
      <c r="AA65" s="22" t="n"/>
      <c r="AB65" s="20" t="n"/>
      <c r="AC65" s="20" t="n"/>
      <c r="AD65" s="22" t="n"/>
      <c r="AE65" s="23" t="n"/>
      <c r="AF65" s="23" t="n"/>
      <c r="AG65" s="23" t="n"/>
      <c r="AH65" s="24" t="n"/>
      <c r="AI65" s="24" t="n"/>
      <c r="AJ65" s="17">
        <f>IF($H65="","",IF($H65&lt;300,"下限未満（対象外）",IF($H65&gt;3000,"上限超（対象外）","範囲内")))</f>
        <v/>
      </c>
      <c r="AK65" s="15">
        <f>IF(OR($E65="",$F65="",$AH65="",$F65&lt;=0),"",($E65-$AH65)/$F65)</f>
        <v/>
      </c>
      <c r="AL65" s="23" t="n"/>
      <c r="AM65" s="20" t="n"/>
      <c r="AN65" s="21">
        <f>COUNTIF($I65:$T65,"◯")*2+COUNTIF($I65:$T65,"△〜◯")*1.5+COUNTIF($I65:$T65,"△")*1+COUNTIF($I65:$T65,"×〜△")*0.5</f>
        <v/>
      </c>
      <c r="AO65" s="17">
        <f>COUNTIF($I65:$T65,"◯")+COUNTIF($I65:$T65,"△〜◯")+COUNTIF($I65:$T65,"△")+COUNTIF($I65:$T65,"×〜△")+COUNTIF($I65:$T65,"×")</f>
        <v/>
      </c>
      <c r="AP65" s="17">
        <f>COUNTIF($I65:$T65,"×")</f>
        <v/>
      </c>
      <c r="AQ65" s="17">
        <f>COUNTIF($I65,"×")+COUNTIF($J65,"×")+COUNTIF($L65,"×")+COUNTIF($O65,"×")</f>
        <v/>
      </c>
    </row>
    <row r="66">
      <c r="A66" s="23" t="n"/>
      <c r="B66" s="23" t="n"/>
      <c r="C66" s="20" t="n"/>
      <c r="D66" s="23" t="n"/>
      <c r="E66" s="24" t="n"/>
      <c r="F66" s="24" t="n"/>
      <c r="G66" s="15">
        <f>IF(OR($E66="",$F66="",$AH66="",$AI66="",$F66&lt;=0),"",($E66-($AH66-$AI66))/$F66)</f>
        <v/>
      </c>
      <c r="H66" s="24" t="n"/>
      <c r="I66" s="25" t="n"/>
      <c r="J66" s="25" t="n"/>
      <c r="K66" s="25" t="n"/>
      <c r="L66" s="25" t="n"/>
      <c r="M66" s="25" t="n"/>
      <c r="N66" s="25" t="n"/>
      <c r="O66" s="25" t="n"/>
      <c r="P66" s="25" t="n"/>
      <c r="Q66" s="25" t="n"/>
      <c r="R66" s="25" t="n"/>
      <c r="S66" s="25" t="n"/>
      <c r="T66" s="25" t="n"/>
      <c r="U66" s="17">
        <f>IF($AO66=0,"",IF($AQ66&gt;0,"C：見送り（Must×）",IF($AP66&gt;=2,"C：見送り（×2件以上）",IF($AO66&lt;6,"B：追加情報を取得",IF(AND($AP66=0,$AN66/($AO66*2)&gt;=0.75),"A：進める","B：追加情報を取得")))))</f>
        <v/>
      </c>
      <c r="V66" s="18">
        <f>IF($AO66=0,"",$AN66/($AO66*2))</f>
        <v/>
      </c>
      <c r="W66" s="17">
        <f>IF($A66="","",COUNTIFS(質問リスト!$A$4:$A$303,$A66,質問リスト!$O$4:$O$303,"&lt;&gt;解決"))</f>
        <v/>
      </c>
      <c r="X66" s="23" t="n"/>
      <c r="Y66" s="20" t="n"/>
      <c r="Z66" s="22" t="n"/>
      <c r="AA66" s="22" t="n"/>
      <c r="AB66" s="20" t="n"/>
      <c r="AC66" s="20" t="n"/>
      <c r="AD66" s="22" t="n"/>
      <c r="AE66" s="23" t="n"/>
      <c r="AF66" s="23" t="n"/>
      <c r="AG66" s="23" t="n"/>
      <c r="AH66" s="24" t="n"/>
      <c r="AI66" s="24" t="n"/>
      <c r="AJ66" s="17">
        <f>IF($H66="","",IF($H66&lt;300,"下限未満（対象外）",IF($H66&gt;3000,"上限超（対象外）","範囲内")))</f>
        <v/>
      </c>
      <c r="AK66" s="15">
        <f>IF(OR($E66="",$F66="",$AH66="",$F66&lt;=0),"",($E66-$AH66)/$F66)</f>
        <v/>
      </c>
      <c r="AL66" s="23" t="n"/>
      <c r="AM66" s="20" t="n"/>
      <c r="AN66" s="21">
        <f>COUNTIF($I66:$T66,"◯")*2+COUNTIF($I66:$T66,"△〜◯")*1.5+COUNTIF($I66:$T66,"△")*1+COUNTIF($I66:$T66,"×〜△")*0.5</f>
        <v/>
      </c>
      <c r="AO66" s="17">
        <f>COUNTIF($I66:$T66,"◯")+COUNTIF($I66:$T66,"△〜◯")+COUNTIF($I66:$T66,"△")+COUNTIF($I66:$T66,"×〜△")+COUNTIF($I66:$T66,"×")</f>
        <v/>
      </c>
      <c r="AP66" s="17">
        <f>COUNTIF($I66:$T66,"×")</f>
        <v/>
      </c>
      <c r="AQ66" s="17">
        <f>COUNTIF($I66,"×")+COUNTIF($J66,"×")+COUNTIF($L66,"×")+COUNTIF($O66,"×")</f>
        <v/>
      </c>
    </row>
    <row r="67">
      <c r="A67" s="23" t="n"/>
      <c r="B67" s="23" t="n"/>
      <c r="C67" s="20" t="n"/>
      <c r="D67" s="23" t="n"/>
      <c r="E67" s="24" t="n"/>
      <c r="F67" s="24" t="n"/>
      <c r="G67" s="15">
        <f>IF(OR($E67="",$F67="",$AH67="",$AI67="",$F67&lt;=0),"",($E67-($AH67-$AI67))/$F67)</f>
        <v/>
      </c>
      <c r="H67" s="24" t="n"/>
      <c r="I67" s="25" t="n"/>
      <c r="J67" s="25" t="n"/>
      <c r="K67" s="25" t="n"/>
      <c r="L67" s="25" t="n"/>
      <c r="M67" s="25" t="n"/>
      <c r="N67" s="25" t="n"/>
      <c r="O67" s="25" t="n"/>
      <c r="P67" s="25" t="n"/>
      <c r="Q67" s="25" t="n"/>
      <c r="R67" s="25" t="n"/>
      <c r="S67" s="25" t="n"/>
      <c r="T67" s="25" t="n"/>
      <c r="U67" s="17">
        <f>IF($AO67=0,"",IF($AQ67&gt;0,"C：見送り（Must×）",IF($AP67&gt;=2,"C：見送り（×2件以上）",IF($AO67&lt;6,"B：追加情報を取得",IF(AND($AP67=0,$AN67/($AO67*2)&gt;=0.75),"A：進める","B：追加情報を取得")))))</f>
        <v/>
      </c>
      <c r="V67" s="18">
        <f>IF($AO67=0,"",$AN67/($AO67*2))</f>
        <v/>
      </c>
      <c r="W67" s="17">
        <f>IF($A67="","",COUNTIFS(質問リスト!$A$4:$A$303,$A67,質問リスト!$O$4:$O$303,"&lt;&gt;解決"))</f>
        <v/>
      </c>
      <c r="X67" s="23" t="n"/>
      <c r="Y67" s="20" t="n"/>
      <c r="Z67" s="22" t="n"/>
      <c r="AA67" s="22" t="n"/>
      <c r="AB67" s="20" t="n"/>
      <c r="AC67" s="20" t="n"/>
      <c r="AD67" s="22" t="n"/>
      <c r="AE67" s="23" t="n"/>
      <c r="AF67" s="23" t="n"/>
      <c r="AG67" s="23" t="n"/>
      <c r="AH67" s="24" t="n"/>
      <c r="AI67" s="24" t="n"/>
      <c r="AJ67" s="17">
        <f>IF($H67="","",IF($H67&lt;300,"下限未満（対象外）",IF($H67&gt;3000,"上限超（対象外）","範囲内")))</f>
        <v/>
      </c>
      <c r="AK67" s="15">
        <f>IF(OR($E67="",$F67="",$AH67="",$F67&lt;=0),"",($E67-$AH67)/$F67)</f>
        <v/>
      </c>
      <c r="AL67" s="23" t="n"/>
      <c r="AM67" s="20" t="n"/>
      <c r="AN67" s="21">
        <f>COUNTIF($I67:$T67,"◯")*2+COUNTIF($I67:$T67,"△〜◯")*1.5+COUNTIF($I67:$T67,"△")*1+COUNTIF($I67:$T67,"×〜△")*0.5</f>
        <v/>
      </c>
      <c r="AO67" s="17">
        <f>COUNTIF($I67:$T67,"◯")+COUNTIF($I67:$T67,"△〜◯")+COUNTIF($I67:$T67,"△")+COUNTIF($I67:$T67,"×〜△")+COUNTIF($I67:$T67,"×")</f>
        <v/>
      </c>
      <c r="AP67" s="17">
        <f>COUNTIF($I67:$T67,"×")</f>
        <v/>
      </c>
      <c r="AQ67" s="17">
        <f>COUNTIF($I67,"×")+COUNTIF($J67,"×")+COUNTIF($L67,"×")+COUNTIF($O67,"×")</f>
        <v/>
      </c>
    </row>
    <row r="68">
      <c r="A68" s="23" t="n"/>
      <c r="B68" s="23" t="n"/>
      <c r="C68" s="20" t="n"/>
      <c r="D68" s="23" t="n"/>
      <c r="E68" s="24" t="n"/>
      <c r="F68" s="24" t="n"/>
      <c r="G68" s="15">
        <f>IF(OR($E68="",$F68="",$AH68="",$AI68="",$F68&lt;=0),"",($E68-($AH68-$AI68))/$F68)</f>
        <v/>
      </c>
      <c r="H68" s="24" t="n"/>
      <c r="I68" s="25" t="n"/>
      <c r="J68" s="25" t="n"/>
      <c r="K68" s="25" t="n"/>
      <c r="L68" s="25" t="n"/>
      <c r="M68" s="25" t="n"/>
      <c r="N68" s="25" t="n"/>
      <c r="O68" s="25" t="n"/>
      <c r="P68" s="25" t="n"/>
      <c r="Q68" s="25" t="n"/>
      <c r="R68" s="25" t="n"/>
      <c r="S68" s="25" t="n"/>
      <c r="T68" s="25" t="n"/>
      <c r="U68" s="17">
        <f>IF($AO68=0,"",IF($AQ68&gt;0,"C：見送り（Must×）",IF($AP68&gt;=2,"C：見送り（×2件以上）",IF($AO68&lt;6,"B：追加情報を取得",IF(AND($AP68=0,$AN68/($AO68*2)&gt;=0.75),"A：進める","B：追加情報を取得")))))</f>
        <v/>
      </c>
      <c r="V68" s="18">
        <f>IF($AO68=0,"",$AN68/($AO68*2))</f>
        <v/>
      </c>
      <c r="W68" s="17">
        <f>IF($A68="","",COUNTIFS(質問リスト!$A$4:$A$303,$A68,質問リスト!$O$4:$O$303,"&lt;&gt;解決"))</f>
        <v/>
      </c>
      <c r="X68" s="23" t="n"/>
      <c r="Y68" s="20" t="n"/>
      <c r="Z68" s="22" t="n"/>
      <c r="AA68" s="22" t="n"/>
      <c r="AB68" s="20" t="n"/>
      <c r="AC68" s="20" t="n"/>
      <c r="AD68" s="22" t="n"/>
      <c r="AE68" s="23" t="n"/>
      <c r="AF68" s="23" t="n"/>
      <c r="AG68" s="23" t="n"/>
      <c r="AH68" s="24" t="n"/>
      <c r="AI68" s="24" t="n"/>
      <c r="AJ68" s="17">
        <f>IF($H68="","",IF($H68&lt;300,"下限未満（対象外）",IF($H68&gt;3000,"上限超（対象外）","範囲内")))</f>
        <v/>
      </c>
      <c r="AK68" s="15">
        <f>IF(OR($E68="",$F68="",$AH68="",$F68&lt;=0),"",($E68-$AH68)/$F68)</f>
        <v/>
      </c>
      <c r="AL68" s="23" t="n"/>
      <c r="AM68" s="20" t="n"/>
      <c r="AN68" s="21">
        <f>COUNTIF($I68:$T68,"◯")*2+COUNTIF($I68:$T68,"△〜◯")*1.5+COUNTIF($I68:$T68,"△")*1+COUNTIF($I68:$T68,"×〜△")*0.5</f>
        <v/>
      </c>
      <c r="AO68" s="17">
        <f>COUNTIF($I68:$T68,"◯")+COUNTIF($I68:$T68,"△〜◯")+COUNTIF($I68:$T68,"△")+COUNTIF($I68:$T68,"×〜△")+COUNTIF($I68:$T68,"×")</f>
        <v/>
      </c>
      <c r="AP68" s="17">
        <f>COUNTIF($I68:$T68,"×")</f>
        <v/>
      </c>
      <c r="AQ68" s="17">
        <f>COUNTIF($I68,"×")+COUNTIF($J68,"×")+COUNTIF($L68,"×")+COUNTIF($O68,"×")</f>
        <v/>
      </c>
    </row>
    <row r="69">
      <c r="A69" s="23" t="n"/>
      <c r="B69" s="23" t="n"/>
      <c r="C69" s="20" t="n"/>
      <c r="D69" s="23" t="n"/>
      <c r="E69" s="24" t="n"/>
      <c r="F69" s="24" t="n"/>
      <c r="G69" s="15">
        <f>IF(OR($E69="",$F69="",$AH69="",$AI69="",$F69&lt;=0),"",($E69-($AH69-$AI69))/$F69)</f>
        <v/>
      </c>
      <c r="H69" s="24" t="n"/>
      <c r="I69" s="25" t="n"/>
      <c r="J69" s="25" t="n"/>
      <c r="K69" s="25" t="n"/>
      <c r="L69" s="25" t="n"/>
      <c r="M69" s="25" t="n"/>
      <c r="N69" s="25" t="n"/>
      <c r="O69" s="25" t="n"/>
      <c r="P69" s="25" t="n"/>
      <c r="Q69" s="25" t="n"/>
      <c r="R69" s="25" t="n"/>
      <c r="S69" s="25" t="n"/>
      <c r="T69" s="25" t="n"/>
      <c r="U69" s="17">
        <f>IF($AO69=0,"",IF($AQ69&gt;0,"C：見送り（Must×）",IF($AP69&gt;=2,"C：見送り（×2件以上）",IF($AO69&lt;6,"B：追加情報を取得",IF(AND($AP69=0,$AN69/($AO69*2)&gt;=0.75),"A：進める","B：追加情報を取得")))))</f>
        <v/>
      </c>
      <c r="V69" s="18">
        <f>IF($AO69=0,"",$AN69/($AO69*2))</f>
        <v/>
      </c>
      <c r="W69" s="17">
        <f>IF($A69="","",COUNTIFS(質問リスト!$A$4:$A$303,$A69,質問リスト!$O$4:$O$303,"&lt;&gt;解決"))</f>
        <v/>
      </c>
      <c r="X69" s="23" t="n"/>
      <c r="Y69" s="20" t="n"/>
      <c r="Z69" s="22" t="n"/>
      <c r="AA69" s="22" t="n"/>
      <c r="AB69" s="20" t="n"/>
      <c r="AC69" s="20" t="n"/>
      <c r="AD69" s="22" t="n"/>
      <c r="AE69" s="23" t="n"/>
      <c r="AF69" s="23" t="n"/>
      <c r="AG69" s="23" t="n"/>
      <c r="AH69" s="24" t="n"/>
      <c r="AI69" s="24" t="n"/>
      <c r="AJ69" s="17">
        <f>IF($H69="","",IF($H69&lt;300,"下限未満（対象外）",IF($H69&gt;3000,"上限超（対象外）","範囲内")))</f>
        <v/>
      </c>
      <c r="AK69" s="15">
        <f>IF(OR($E69="",$F69="",$AH69="",$F69&lt;=0),"",($E69-$AH69)/$F69)</f>
        <v/>
      </c>
      <c r="AL69" s="23" t="n"/>
      <c r="AM69" s="20" t="n"/>
      <c r="AN69" s="21">
        <f>COUNTIF($I69:$T69,"◯")*2+COUNTIF($I69:$T69,"△〜◯")*1.5+COUNTIF($I69:$T69,"△")*1+COUNTIF($I69:$T69,"×〜△")*0.5</f>
        <v/>
      </c>
      <c r="AO69" s="17">
        <f>COUNTIF($I69:$T69,"◯")+COUNTIF($I69:$T69,"△〜◯")+COUNTIF($I69:$T69,"△")+COUNTIF($I69:$T69,"×〜△")+COUNTIF($I69:$T69,"×")</f>
        <v/>
      </c>
      <c r="AP69" s="17">
        <f>COUNTIF($I69:$T69,"×")</f>
        <v/>
      </c>
      <c r="AQ69" s="17">
        <f>COUNTIF($I69,"×")+COUNTIF($J69,"×")+COUNTIF($L69,"×")+COUNTIF($O69,"×")</f>
        <v/>
      </c>
    </row>
    <row r="70">
      <c r="A70" s="23" t="n"/>
      <c r="B70" s="23" t="n"/>
      <c r="C70" s="20" t="n"/>
      <c r="D70" s="23" t="n"/>
      <c r="E70" s="24" t="n"/>
      <c r="F70" s="24" t="n"/>
      <c r="G70" s="15">
        <f>IF(OR($E70="",$F70="",$AH70="",$AI70="",$F70&lt;=0),"",($E70-($AH70-$AI70))/$F70)</f>
        <v/>
      </c>
      <c r="H70" s="24" t="n"/>
      <c r="I70" s="25" t="n"/>
      <c r="J70" s="25" t="n"/>
      <c r="K70" s="25" t="n"/>
      <c r="L70" s="25" t="n"/>
      <c r="M70" s="25" t="n"/>
      <c r="N70" s="25" t="n"/>
      <c r="O70" s="25" t="n"/>
      <c r="P70" s="25" t="n"/>
      <c r="Q70" s="25" t="n"/>
      <c r="R70" s="25" t="n"/>
      <c r="S70" s="25" t="n"/>
      <c r="T70" s="25" t="n"/>
      <c r="U70" s="17">
        <f>IF($AO70=0,"",IF($AQ70&gt;0,"C：見送り（Must×）",IF($AP70&gt;=2,"C：見送り（×2件以上）",IF($AO70&lt;6,"B：追加情報を取得",IF(AND($AP70=0,$AN70/($AO70*2)&gt;=0.75),"A：進める","B：追加情報を取得")))))</f>
        <v/>
      </c>
      <c r="V70" s="18">
        <f>IF($AO70=0,"",$AN70/($AO70*2))</f>
        <v/>
      </c>
      <c r="W70" s="17">
        <f>IF($A70="","",COUNTIFS(質問リスト!$A$4:$A$303,$A70,質問リスト!$O$4:$O$303,"&lt;&gt;解決"))</f>
        <v/>
      </c>
      <c r="X70" s="23" t="n"/>
      <c r="Y70" s="20" t="n"/>
      <c r="Z70" s="22" t="n"/>
      <c r="AA70" s="22" t="n"/>
      <c r="AB70" s="20" t="n"/>
      <c r="AC70" s="20" t="n"/>
      <c r="AD70" s="22" t="n"/>
      <c r="AE70" s="23" t="n"/>
      <c r="AF70" s="23" t="n"/>
      <c r="AG70" s="23" t="n"/>
      <c r="AH70" s="24" t="n"/>
      <c r="AI70" s="24" t="n"/>
      <c r="AJ70" s="17">
        <f>IF($H70="","",IF($H70&lt;300,"下限未満（対象外）",IF($H70&gt;3000,"上限超（対象外）","範囲内")))</f>
        <v/>
      </c>
      <c r="AK70" s="15">
        <f>IF(OR($E70="",$F70="",$AH70="",$F70&lt;=0),"",($E70-$AH70)/$F70)</f>
        <v/>
      </c>
      <c r="AL70" s="23" t="n"/>
      <c r="AM70" s="20" t="n"/>
      <c r="AN70" s="21">
        <f>COUNTIF($I70:$T70,"◯")*2+COUNTIF($I70:$T70,"△〜◯")*1.5+COUNTIF($I70:$T70,"△")*1+COUNTIF($I70:$T70,"×〜△")*0.5</f>
        <v/>
      </c>
      <c r="AO70" s="17">
        <f>COUNTIF($I70:$T70,"◯")+COUNTIF($I70:$T70,"△〜◯")+COUNTIF($I70:$T70,"△")+COUNTIF($I70:$T70,"×〜△")+COUNTIF($I70:$T70,"×")</f>
        <v/>
      </c>
      <c r="AP70" s="17">
        <f>COUNTIF($I70:$T70,"×")</f>
        <v/>
      </c>
      <c r="AQ70" s="17">
        <f>COUNTIF($I70,"×")+COUNTIF($J70,"×")+COUNTIF($L70,"×")+COUNTIF($O70,"×")</f>
        <v/>
      </c>
    </row>
    <row r="71">
      <c r="A71" s="23" t="n"/>
      <c r="B71" s="23" t="n"/>
      <c r="C71" s="20" t="n"/>
      <c r="D71" s="23" t="n"/>
      <c r="E71" s="24" t="n"/>
      <c r="F71" s="24" t="n"/>
      <c r="G71" s="15">
        <f>IF(OR($E71="",$F71="",$AH71="",$AI71="",$F71&lt;=0),"",($E71-($AH71-$AI71))/$F71)</f>
        <v/>
      </c>
      <c r="H71" s="24" t="n"/>
      <c r="I71" s="25" t="n"/>
      <c r="J71" s="25" t="n"/>
      <c r="K71" s="25" t="n"/>
      <c r="L71" s="25" t="n"/>
      <c r="M71" s="25" t="n"/>
      <c r="N71" s="25" t="n"/>
      <c r="O71" s="25" t="n"/>
      <c r="P71" s="25" t="n"/>
      <c r="Q71" s="25" t="n"/>
      <c r="R71" s="25" t="n"/>
      <c r="S71" s="25" t="n"/>
      <c r="T71" s="25" t="n"/>
      <c r="U71" s="17">
        <f>IF($AO71=0,"",IF($AQ71&gt;0,"C：見送り（Must×）",IF($AP71&gt;=2,"C：見送り（×2件以上）",IF($AO71&lt;6,"B：追加情報を取得",IF(AND($AP71=0,$AN71/($AO71*2)&gt;=0.75),"A：進める","B：追加情報を取得")))))</f>
        <v/>
      </c>
      <c r="V71" s="18">
        <f>IF($AO71=0,"",$AN71/($AO71*2))</f>
        <v/>
      </c>
      <c r="W71" s="17">
        <f>IF($A71="","",COUNTIFS(質問リスト!$A$4:$A$303,$A71,質問リスト!$O$4:$O$303,"&lt;&gt;解決"))</f>
        <v/>
      </c>
      <c r="X71" s="23" t="n"/>
      <c r="Y71" s="20" t="n"/>
      <c r="Z71" s="22" t="n"/>
      <c r="AA71" s="22" t="n"/>
      <c r="AB71" s="20" t="n"/>
      <c r="AC71" s="20" t="n"/>
      <c r="AD71" s="22" t="n"/>
      <c r="AE71" s="23" t="n"/>
      <c r="AF71" s="23" t="n"/>
      <c r="AG71" s="23" t="n"/>
      <c r="AH71" s="24" t="n"/>
      <c r="AI71" s="24" t="n"/>
      <c r="AJ71" s="17">
        <f>IF($H71="","",IF($H71&lt;300,"下限未満（対象外）",IF($H71&gt;3000,"上限超（対象外）","範囲内")))</f>
        <v/>
      </c>
      <c r="AK71" s="15">
        <f>IF(OR($E71="",$F71="",$AH71="",$F71&lt;=0),"",($E71-$AH71)/$F71)</f>
        <v/>
      </c>
      <c r="AL71" s="23" t="n"/>
      <c r="AM71" s="20" t="n"/>
      <c r="AN71" s="21">
        <f>COUNTIF($I71:$T71,"◯")*2+COUNTIF($I71:$T71,"△〜◯")*1.5+COUNTIF($I71:$T71,"△")*1+COUNTIF($I71:$T71,"×〜△")*0.5</f>
        <v/>
      </c>
      <c r="AO71" s="17">
        <f>COUNTIF($I71:$T71,"◯")+COUNTIF($I71:$T71,"△〜◯")+COUNTIF($I71:$T71,"△")+COUNTIF($I71:$T71,"×〜△")+COUNTIF($I71:$T71,"×")</f>
        <v/>
      </c>
      <c r="AP71" s="17">
        <f>COUNTIF($I71:$T71,"×")</f>
        <v/>
      </c>
      <c r="AQ71" s="17">
        <f>COUNTIF($I71,"×")+COUNTIF($J71,"×")+COUNTIF($L71,"×")+COUNTIF($O71,"×")</f>
        <v/>
      </c>
    </row>
    <row r="72">
      <c r="A72" s="23" t="n"/>
      <c r="B72" s="23" t="n"/>
      <c r="C72" s="20" t="n"/>
      <c r="D72" s="23" t="n"/>
      <c r="E72" s="24" t="n"/>
      <c r="F72" s="24" t="n"/>
      <c r="G72" s="15">
        <f>IF(OR($E72="",$F72="",$AH72="",$AI72="",$F72&lt;=0),"",($E72-($AH72-$AI72))/$F72)</f>
        <v/>
      </c>
      <c r="H72" s="24" t="n"/>
      <c r="I72" s="25" t="n"/>
      <c r="J72" s="25" t="n"/>
      <c r="K72" s="25" t="n"/>
      <c r="L72" s="25" t="n"/>
      <c r="M72" s="25" t="n"/>
      <c r="N72" s="25" t="n"/>
      <c r="O72" s="25" t="n"/>
      <c r="P72" s="25" t="n"/>
      <c r="Q72" s="25" t="n"/>
      <c r="R72" s="25" t="n"/>
      <c r="S72" s="25" t="n"/>
      <c r="T72" s="25" t="n"/>
      <c r="U72" s="17">
        <f>IF($AO72=0,"",IF($AQ72&gt;0,"C：見送り（Must×）",IF($AP72&gt;=2,"C：見送り（×2件以上）",IF($AO72&lt;6,"B：追加情報を取得",IF(AND($AP72=0,$AN72/($AO72*2)&gt;=0.75),"A：進める","B：追加情報を取得")))))</f>
        <v/>
      </c>
      <c r="V72" s="18">
        <f>IF($AO72=0,"",$AN72/($AO72*2))</f>
        <v/>
      </c>
      <c r="W72" s="17">
        <f>IF($A72="","",COUNTIFS(質問リスト!$A$4:$A$303,$A72,質問リスト!$O$4:$O$303,"&lt;&gt;解決"))</f>
        <v/>
      </c>
      <c r="X72" s="23" t="n"/>
      <c r="Y72" s="20" t="n"/>
      <c r="Z72" s="22" t="n"/>
      <c r="AA72" s="22" t="n"/>
      <c r="AB72" s="20" t="n"/>
      <c r="AC72" s="20" t="n"/>
      <c r="AD72" s="22" t="n"/>
      <c r="AE72" s="23" t="n"/>
      <c r="AF72" s="23" t="n"/>
      <c r="AG72" s="23" t="n"/>
      <c r="AH72" s="24" t="n"/>
      <c r="AI72" s="24" t="n"/>
      <c r="AJ72" s="17">
        <f>IF($H72="","",IF($H72&lt;300,"下限未満（対象外）",IF($H72&gt;3000,"上限超（対象外）","範囲内")))</f>
        <v/>
      </c>
      <c r="AK72" s="15">
        <f>IF(OR($E72="",$F72="",$AH72="",$F72&lt;=0),"",($E72-$AH72)/$F72)</f>
        <v/>
      </c>
      <c r="AL72" s="23" t="n"/>
      <c r="AM72" s="20" t="n"/>
      <c r="AN72" s="21">
        <f>COUNTIF($I72:$T72,"◯")*2+COUNTIF($I72:$T72,"△〜◯")*1.5+COUNTIF($I72:$T72,"△")*1+COUNTIF($I72:$T72,"×〜△")*0.5</f>
        <v/>
      </c>
      <c r="AO72" s="17">
        <f>COUNTIF($I72:$T72,"◯")+COUNTIF($I72:$T72,"△〜◯")+COUNTIF($I72:$T72,"△")+COUNTIF($I72:$T72,"×〜△")+COUNTIF($I72:$T72,"×")</f>
        <v/>
      </c>
      <c r="AP72" s="17">
        <f>COUNTIF($I72:$T72,"×")</f>
        <v/>
      </c>
      <c r="AQ72" s="17">
        <f>COUNTIF($I72,"×")+COUNTIF($J72,"×")+COUNTIF($L72,"×")+COUNTIF($O72,"×")</f>
        <v/>
      </c>
    </row>
    <row r="73">
      <c r="A73" s="23" t="n"/>
      <c r="B73" s="23" t="n"/>
      <c r="C73" s="20" t="n"/>
      <c r="D73" s="23" t="n"/>
      <c r="E73" s="24" t="n"/>
      <c r="F73" s="24" t="n"/>
      <c r="G73" s="15">
        <f>IF(OR($E73="",$F73="",$AH73="",$AI73="",$F73&lt;=0),"",($E73-($AH73-$AI73))/$F73)</f>
        <v/>
      </c>
      <c r="H73" s="24" t="n"/>
      <c r="I73" s="25" t="n"/>
      <c r="J73" s="25" t="n"/>
      <c r="K73" s="25" t="n"/>
      <c r="L73" s="25" t="n"/>
      <c r="M73" s="25" t="n"/>
      <c r="N73" s="25" t="n"/>
      <c r="O73" s="25" t="n"/>
      <c r="P73" s="25" t="n"/>
      <c r="Q73" s="25" t="n"/>
      <c r="R73" s="25" t="n"/>
      <c r="S73" s="25" t="n"/>
      <c r="T73" s="25" t="n"/>
      <c r="U73" s="17">
        <f>IF($AO73=0,"",IF($AQ73&gt;0,"C：見送り（Must×）",IF($AP73&gt;=2,"C：見送り（×2件以上）",IF($AO73&lt;6,"B：追加情報を取得",IF(AND($AP73=0,$AN73/($AO73*2)&gt;=0.75),"A：進める","B：追加情報を取得")))))</f>
        <v/>
      </c>
      <c r="V73" s="18">
        <f>IF($AO73=0,"",$AN73/($AO73*2))</f>
        <v/>
      </c>
      <c r="W73" s="17">
        <f>IF($A73="","",COUNTIFS(質問リスト!$A$4:$A$303,$A73,質問リスト!$O$4:$O$303,"&lt;&gt;解決"))</f>
        <v/>
      </c>
      <c r="X73" s="23" t="n"/>
      <c r="Y73" s="20" t="n"/>
      <c r="Z73" s="22" t="n"/>
      <c r="AA73" s="22" t="n"/>
      <c r="AB73" s="20" t="n"/>
      <c r="AC73" s="20" t="n"/>
      <c r="AD73" s="22" t="n"/>
      <c r="AE73" s="23" t="n"/>
      <c r="AF73" s="23" t="n"/>
      <c r="AG73" s="23" t="n"/>
      <c r="AH73" s="24" t="n"/>
      <c r="AI73" s="24" t="n"/>
      <c r="AJ73" s="17">
        <f>IF($H73="","",IF($H73&lt;300,"下限未満（対象外）",IF($H73&gt;3000,"上限超（対象外）","範囲内")))</f>
        <v/>
      </c>
      <c r="AK73" s="15">
        <f>IF(OR($E73="",$F73="",$AH73="",$F73&lt;=0),"",($E73-$AH73)/$F73)</f>
        <v/>
      </c>
      <c r="AL73" s="23" t="n"/>
      <c r="AM73" s="20" t="n"/>
      <c r="AN73" s="21">
        <f>COUNTIF($I73:$T73,"◯")*2+COUNTIF($I73:$T73,"△〜◯")*1.5+COUNTIF($I73:$T73,"△")*1+COUNTIF($I73:$T73,"×〜△")*0.5</f>
        <v/>
      </c>
      <c r="AO73" s="17">
        <f>COUNTIF($I73:$T73,"◯")+COUNTIF($I73:$T73,"△〜◯")+COUNTIF($I73:$T73,"△")+COUNTIF($I73:$T73,"×〜△")+COUNTIF($I73:$T73,"×")</f>
        <v/>
      </c>
      <c r="AP73" s="17">
        <f>COUNTIF($I73:$T73,"×")</f>
        <v/>
      </c>
      <c r="AQ73" s="17">
        <f>COUNTIF($I73,"×")+COUNTIF($J73,"×")+COUNTIF($L73,"×")+COUNTIF($O73,"×")</f>
        <v/>
      </c>
    </row>
    <row r="74">
      <c r="A74" s="23" t="n"/>
      <c r="B74" s="23" t="n"/>
      <c r="C74" s="20" t="n"/>
      <c r="D74" s="23" t="n"/>
      <c r="E74" s="24" t="n"/>
      <c r="F74" s="24" t="n"/>
      <c r="G74" s="15">
        <f>IF(OR($E74="",$F74="",$AH74="",$AI74="",$F74&lt;=0),"",($E74-($AH74-$AI74))/$F74)</f>
        <v/>
      </c>
      <c r="H74" s="24" t="n"/>
      <c r="I74" s="25" t="n"/>
      <c r="J74" s="25" t="n"/>
      <c r="K74" s="25" t="n"/>
      <c r="L74" s="25" t="n"/>
      <c r="M74" s="25" t="n"/>
      <c r="N74" s="25" t="n"/>
      <c r="O74" s="25" t="n"/>
      <c r="P74" s="25" t="n"/>
      <c r="Q74" s="25" t="n"/>
      <c r="R74" s="25" t="n"/>
      <c r="S74" s="25" t="n"/>
      <c r="T74" s="25" t="n"/>
      <c r="U74" s="17">
        <f>IF($AO74=0,"",IF($AQ74&gt;0,"C：見送り（Must×）",IF($AP74&gt;=2,"C：見送り（×2件以上）",IF($AO74&lt;6,"B：追加情報を取得",IF(AND($AP74=0,$AN74/($AO74*2)&gt;=0.75),"A：進める","B：追加情報を取得")))))</f>
        <v/>
      </c>
      <c r="V74" s="18">
        <f>IF($AO74=0,"",$AN74/($AO74*2))</f>
        <v/>
      </c>
      <c r="W74" s="17">
        <f>IF($A74="","",COUNTIFS(質問リスト!$A$4:$A$303,$A74,質問リスト!$O$4:$O$303,"&lt;&gt;解決"))</f>
        <v/>
      </c>
      <c r="X74" s="23" t="n"/>
      <c r="Y74" s="20" t="n"/>
      <c r="Z74" s="22" t="n"/>
      <c r="AA74" s="22" t="n"/>
      <c r="AB74" s="20" t="n"/>
      <c r="AC74" s="20" t="n"/>
      <c r="AD74" s="22" t="n"/>
      <c r="AE74" s="23" t="n"/>
      <c r="AF74" s="23" t="n"/>
      <c r="AG74" s="23" t="n"/>
      <c r="AH74" s="24" t="n"/>
      <c r="AI74" s="24" t="n"/>
      <c r="AJ74" s="17">
        <f>IF($H74="","",IF($H74&lt;300,"下限未満（対象外）",IF($H74&gt;3000,"上限超（対象外）","範囲内")))</f>
        <v/>
      </c>
      <c r="AK74" s="15">
        <f>IF(OR($E74="",$F74="",$AH74="",$F74&lt;=0),"",($E74-$AH74)/$F74)</f>
        <v/>
      </c>
      <c r="AL74" s="23" t="n"/>
      <c r="AM74" s="20" t="n"/>
      <c r="AN74" s="21">
        <f>COUNTIF($I74:$T74,"◯")*2+COUNTIF($I74:$T74,"△〜◯")*1.5+COUNTIF($I74:$T74,"△")*1+COUNTIF($I74:$T74,"×〜△")*0.5</f>
        <v/>
      </c>
      <c r="AO74" s="17">
        <f>COUNTIF($I74:$T74,"◯")+COUNTIF($I74:$T74,"△〜◯")+COUNTIF($I74:$T74,"△")+COUNTIF($I74:$T74,"×〜△")+COUNTIF($I74:$T74,"×")</f>
        <v/>
      </c>
      <c r="AP74" s="17">
        <f>COUNTIF($I74:$T74,"×")</f>
        <v/>
      </c>
      <c r="AQ74" s="17">
        <f>COUNTIF($I74,"×")+COUNTIF($J74,"×")+COUNTIF($L74,"×")+COUNTIF($O74,"×")</f>
        <v/>
      </c>
    </row>
    <row r="75">
      <c r="A75" s="23" t="n"/>
      <c r="B75" s="23" t="n"/>
      <c r="C75" s="20" t="n"/>
      <c r="D75" s="23" t="n"/>
      <c r="E75" s="24" t="n"/>
      <c r="F75" s="24" t="n"/>
      <c r="G75" s="15">
        <f>IF(OR($E75="",$F75="",$AH75="",$AI75="",$F75&lt;=0),"",($E75-($AH75-$AI75))/$F75)</f>
        <v/>
      </c>
      <c r="H75" s="24" t="n"/>
      <c r="I75" s="25" t="n"/>
      <c r="J75" s="25" t="n"/>
      <c r="K75" s="25" t="n"/>
      <c r="L75" s="25" t="n"/>
      <c r="M75" s="25" t="n"/>
      <c r="N75" s="25" t="n"/>
      <c r="O75" s="25" t="n"/>
      <c r="P75" s="25" t="n"/>
      <c r="Q75" s="25" t="n"/>
      <c r="R75" s="25" t="n"/>
      <c r="S75" s="25" t="n"/>
      <c r="T75" s="25" t="n"/>
      <c r="U75" s="17">
        <f>IF($AO75=0,"",IF($AQ75&gt;0,"C：見送り（Must×）",IF($AP75&gt;=2,"C：見送り（×2件以上）",IF($AO75&lt;6,"B：追加情報を取得",IF(AND($AP75=0,$AN75/($AO75*2)&gt;=0.75),"A：進める","B：追加情報を取得")))))</f>
        <v/>
      </c>
      <c r="V75" s="18">
        <f>IF($AO75=0,"",$AN75/($AO75*2))</f>
        <v/>
      </c>
      <c r="W75" s="17">
        <f>IF($A75="","",COUNTIFS(質問リスト!$A$4:$A$303,$A75,質問リスト!$O$4:$O$303,"&lt;&gt;解決"))</f>
        <v/>
      </c>
      <c r="X75" s="23" t="n"/>
      <c r="Y75" s="20" t="n"/>
      <c r="Z75" s="22" t="n"/>
      <c r="AA75" s="22" t="n"/>
      <c r="AB75" s="20" t="n"/>
      <c r="AC75" s="20" t="n"/>
      <c r="AD75" s="22" t="n"/>
      <c r="AE75" s="23" t="n"/>
      <c r="AF75" s="23" t="n"/>
      <c r="AG75" s="23" t="n"/>
      <c r="AH75" s="24" t="n"/>
      <c r="AI75" s="24" t="n"/>
      <c r="AJ75" s="17">
        <f>IF($H75="","",IF($H75&lt;300,"下限未満（対象外）",IF($H75&gt;3000,"上限超（対象外）","範囲内")))</f>
        <v/>
      </c>
      <c r="AK75" s="15">
        <f>IF(OR($E75="",$F75="",$AH75="",$F75&lt;=0),"",($E75-$AH75)/$F75)</f>
        <v/>
      </c>
      <c r="AL75" s="23" t="n"/>
      <c r="AM75" s="20" t="n"/>
      <c r="AN75" s="21">
        <f>COUNTIF($I75:$T75,"◯")*2+COUNTIF($I75:$T75,"△〜◯")*1.5+COUNTIF($I75:$T75,"△")*1+COUNTIF($I75:$T75,"×〜△")*0.5</f>
        <v/>
      </c>
      <c r="AO75" s="17">
        <f>COUNTIF($I75:$T75,"◯")+COUNTIF($I75:$T75,"△〜◯")+COUNTIF($I75:$T75,"△")+COUNTIF($I75:$T75,"×〜△")+COUNTIF($I75:$T75,"×")</f>
        <v/>
      </c>
      <c r="AP75" s="17">
        <f>COUNTIF($I75:$T75,"×")</f>
        <v/>
      </c>
      <c r="AQ75" s="17">
        <f>COUNTIF($I75,"×")+COUNTIF($J75,"×")+COUNTIF($L75,"×")+COUNTIF($O75,"×")</f>
        <v/>
      </c>
    </row>
    <row r="76">
      <c r="A76" s="23" t="n"/>
      <c r="B76" s="23" t="n"/>
      <c r="C76" s="20" t="n"/>
      <c r="D76" s="23" t="n"/>
      <c r="E76" s="24" t="n"/>
      <c r="F76" s="24" t="n"/>
      <c r="G76" s="15">
        <f>IF(OR($E76="",$F76="",$AH76="",$AI76="",$F76&lt;=0),"",($E76-($AH76-$AI76))/$F76)</f>
        <v/>
      </c>
      <c r="H76" s="24" t="n"/>
      <c r="I76" s="25" t="n"/>
      <c r="J76" s="25" t="n"/>
      <c r="K76" s="25" t="n"/>
      <c r="L76" s="25" t="n"/>
      <c r="M76" s="25" t="n"/>
      <c r="N76" s="25" t="n"/>
      <c r="O76" s="25" t="n"/>
      <c r="P76" s="25" t="n"/>
      <c r="Q76" s="25" t="n"/>
      <c r="R76" s="25" t="n"/>
      <c r="S76" s="25" t="n"/>
      <c r="T76" s="25" t="n"/>
      <c r="U76" s="17">
        <f>IF($AO76=0,"",IF($AQ76&gt;0,"C：見送り（Must×）",IF($AP76&gt;=2,"C：見送り（×2件以上）",IF($AO76&lt;6,"B：追加情報を取得",IF(AND($AP76=0,$AN76/($AO76*2)&gt;=0.75),"A：進める","B：追加情報を取得")))))</f>
        <v/>
      </c>
      <c r="V76" s="18">
        <f>IF($AO76=0,"",$AN76/($AO76*2))</f>
        <v/>
      </c>
      <c r="W76" s="17">
        <f>IF($A76="","",COUNTIFS(質問リスト!$A$4:$A$303,$A76,質問リスト!$O$4:$O$303,"&lt;&gt;解決"))</f>
        <v/>
      </c>
      <c r="X76" s="23" t="n"/>
      <c r="Y76" s="20" t="n"/>
      <c r="Z76" s="22" t="n"/>
      <c r="AA76" s="22" t="n"/>
      <c r="AB76" s="20" t="n"/>
      <c r="AC76" s="20" t="n"/>
      <c r="AD76" s="22" t="n"/>
      <c r="AE76" s="23" t="n"/>
      <c r="AF76" s="23" t="n"/>
      <c r="AG76" s="23" t="n"/>
      <c r="AH76" s="24" t="n"/>
      <c r="AI76" s="24" t="n"/>
      <c r="AJ76" s="17">
        <f>IF($H76="","",IF($H76&lt;300,"下限未満（対象外）",IF($H76&gt;3000,"上限超（対象外）","範囲内")))</f>
        <v/>
      </c>
      <c r="AK76" s="15">
        <f>IF(OR($E76="",$F76="",$AH76="",$F76&lt;=0),"",($E76-$AH76)/$F76)</f>
        <v/>
      </c>
      <c r="AL76" s="23" t="n"/>
      <c r="AM76" s="20" t="n"/>
      <c r="AN76" s="21">
        <f>COUNTIF($I76:$T76,"◯")*2+COUNTIF($I76:$T76,"△〜◯")*1.5+COUNTIF($I76:$T76,"△")*1+COUNTIF($I76:$T76,"×〜△")*0.5</f>
        <v/>
      </c>
      <c r="AO76" s="17">
        <f>COUNTIF($I76:$T76,"◯")+COUNTIF($I76:$T76,"△〜◯")+COUNTIF($I76:$T76,"△")+COUNTIF($I76:$T76,"×〜△")+COUNTIF($I76:$T76,"×")</f>
        <v/>
      </c>
      <c r="AP76" s="17">
        <f>COUNTIF($I76:$T76,"×")</f>
        <v/>
      </c>
      <c r="AQ76" s="17">
        <f>COUNTIF($I76,"×")+COUNTIF($J76,"×")+COUNTIF($L76,"×")+COUNTIF($O76,"×")</f>
        <v/>
      </c>
    </row>
    <row r="77">
      <c r="A77" s="23" t="n"/>
      <c r="B77" s="23" t="n"/>
      <c r="C77" s="20" t="n"/>
      <c r="D77" s="23" t="n"/>
      <c r="E77" s="24" t="n"/>
      <c r="F77" s="24" t="n"/>
      <c r="G77" s="15">
        <f>IF(OR($E77="",$F77="",$AH77="",$AI77="",$F77&lt;=0),"",($E77-($AH77-$AI77))/$F77)</f>
        <v/>
      </c>
      <c r="H77" s="24" t="n"/>
      <c r="I77" s="25" t="n"/>
      <c r="J77" s="25" t="n"/>
      <c r="K77" s="25" t="n"/>
      <c r="L77" s="25" t="n"/>
      <c r="M77" s="25" t="n"/>
      <c r="N77" s="25" t="n"/>
      <c r="O77" s="25" t="n"/>
      <c r="P77" s="25" t="n"/>
      <c r="Q77" s="25" t="n"/>
      <c r="R77" s="25" t="n"/>
      <c r="S77" s="25" t="n"/>
      <c r="T77" s="25" t="n"/>
      <c r="U77" s="17">
        <f>IF($AO77=0,"",IF($AQ77&gt;0,"C：見送り（Must×）",IF($AP77&gt;=2,"C：見送り（×2件以上）",IF($AO77&lt;6,"B：追加情報を取得",IF(AND($AP77=0,$AN77/($AO77*2)&gt;=0.75),"A：進める","B：追加情報を取得")))))</f>
        <v/>
      </c>
      <c r="V77" s="18">
        <f>IF($AO77=0,"",$AN77/($AO77*2))</f>
        <v/>
      </c>
      <c r="W77" s="17">
        <f>IF($A77="","",COUNTIFS(質問リスト!$A$4:$A$303,$A77,質問リスト!$O$4:$O$303,"&lt;&gt;解決"))</f>
        <v/>
      </c>
      <c r="X77" s="23" t="n"/>
      <c r="Y77" s="20" t="n"/>
      <c r="Z77" s="22" t="n"/>
      <c r="AA77" s="22" t="n"/>
      <c r="AB77" s="20" t="n"/>
      <c r="AC77" s="20" t="n"/>
      <c r="AD77" s="22" t="n"/>
      <c r="AE77" s="23" t="n"/>
      <c r="AF77" s="23" t="n"/>
      <c r="AG77" s="23" t="n"/>
      <c r="AH77" s="24" t="n"/>
      <c r="AI77" s="24" t="n"/>
      <c r="AJ77" s="17">
        <f>IF($H77="","",IF($H77&lt;300,"下限未満（対象外）",IF($H77&gt;3000,"上限超（対象外）","範囲内")))</f>
        <v/>
      </c>
      <c r="AK77" s="15">
        <f>IF(OR($E77="",$F77="",$AH77="",$F77&lt;=0),"",($E77-$AH77)/$F77)</f>
        <v/>
      </c>
      <c r="AL77" s="23" t="n"/>
      <c r="AM77" s="20" t="n"/>
      <c r="AN77" s="21">
        <f>COUNTIF($I77:$T77,"◯")*2+COUNTIF($I77:$T77,"△〜◯")*1.5+COUNTIF($I77:$T77,"△")*1+COUNTIF($I77:$T77,"×〜△")*0.5</f>
        <v/>
      </c>
      <c r="AO77" s="17">
        <f>COUNTIF($I77:$T77,"◯")+COUNTIF($I77:$T77,"△〜◯")+COUNTIF($I77:$T77,"△")+COUNTIF($I77:$T77,"×〜△")+COUNTIF($I77:$T77,"×")</f>
        <v/>
      </c>
      <c r="AP77" s="17">
        <f>COUNTIF($I77:$T77,"×")</f>
        <v/>
      </c>
      <c r="AQ77" s="17">
        <f>COUNTIF($I77,"×")+COUNTIF($J77,"×")+COUNTIF($L77,"×")+COUNTIF($O77,"×")</f>
        <v/>
      </c>
    </row>
    <row r="78">
      <c r="A78" s="23" t="n"/>
      <c r="B78" s="23" t="n"/>
      <c r="C78" s="20" t="n"/>
      <c r="D78" s="23" t="n"/>
      <c r="E78" s="24" t="n"/>
      <c r="F78" s="24" t="n"/>
      <c r="G78" s="15">
        <f>IF(OR($E78="",$F78="",$AH78="",$AI78="",$F78&lt;=0),"",($E78-($AH78-$AI78))/$F78)</f>
        <v/>
      </c>
      <c r="H78" s="24" t="n"/>
      <c r="I78" s="25" t="n"/>
      <c r="J78" s="25" t="n"/>
      <c r="K78" s="25" t="n"/>
      <c r="L78" s="25" t="n"/>
      <c r="M78" s="25" t="n"/>
      <c r="N78" s="25" t="n"/>
      <c r="O78" s="25" t="n"/>
      <c r="P78" s="25" t="n"/>
      <c r="Q78" s="25" t="n"/>
      <c r="R78" s="25" t="n"/>
      <c r="S78" s="25" t="n"/>
      <c r="T78" s="25" t="n"/>
      <c r="U78" s="17">
        <f>IF($AO78=0,"",IF($AQ78&gt;0,"C：見送り（Must×）",IF($AP78&gt;=2,"C：見送り（×2件以上）",IF($AO78&lt;6,"B：追加情報を取得",IF(AND($AP78=0,$AN78/($AO78*2)&gt;=0.75),"A：進める","B：追加情報を取得")))))</f>
        <v/>
      </c>
      <c r="V78" s="18">
        <f>IF($AO78=0,"",$AN78/($AO78*2))</f>
        <v/>
      </c>
      <c r="W78" s="17">
        <f>IF($A78="","",COUNTIFS(質問リスト!$A$4:$A$303,$A78,質問リスト!$O$4:$O$303,"&lt;&gt;解決"))</f>
        <v/>
      </c>
      <c r="X78" s="23" t="n"/>
      <c r="Y78" s="20" t="n"/>
      <c r="Z78" s="22" t="n"/>
      <c r="AA78" s="22" t="n"/>
      <c r="AB78" s="20" t="n"/>
      <c r="AC78" s="20" t="n"/>
      <c r="AD78" s="22" t="n"/>
      <c r="AE78" s="23" t="n"/>
      <c r="AF78" s="23" t="n"/>
      <c r="AG78" s="23" t="n"/>
      <c r="AH78" s="24" t="n"/>
      <c r="AI78" s="24" t="n"/>
      <c r="AJ78" s="17">
        <f>IF($H78="","",IF($H78&lt;300,"下限未満（対象外）",IF($H78&gt;3000,"上限超（対象外）","範囲内")))</f>
        <v/>
      </c>
      <c r="AK78" s="15">
        <f>IF(OR($E78="",$F78="",$AH78="",$F78&lt;=0),"",($E78-$AH78)/$F78)</f>
        <v/>
      </c>
      <c r="AL78" s="23" t="n"/>
      <c r="AM78" s="20" t="n"/>
      <c r="AN78" s="21">
        <f>COUNTIF($I78:$T78,"◯")*2+COUNTIF($I78:$T78,"△〜◯")*1.5+COUNTIF($I78:$T78,"△")*1+COUNTIF($I78:$T78,"×〜△")*0.5</f>
        <v/>
      </c>
      <c r="AO78" s="17">
        <f>COUNTIF($I78:$T78,"◯")+COUNTIF($I78:$T78,"△〜◯")+COUNTIF($I78:$T78,"△")+COUNTIF($I78:$T78,"×〜△")+COUNTIF($I78:$T78,"×")</f>
        <v/>
      </c>
      <c r="AP78" s="17">
        <f>COUNTIF($I78:$T78,"×")</f>
        <v/>
      </c>
      <c r="AQ78" s="17">
        <f>COUNTIF($I78,"×")+COUNTIF($J78,"×")+COUNTIF($L78,"×")+COUNTIF($O78,"×")</f>
        <v/>
      </c>
    </row>
    <row r="79">
      <c r="A79" s="23" t="n"/>
      <c r="B79" s="23" t="n"/>
      <c r="C79" s="20" t="n"/>
      <c r="D79" s="23" t="n"/>
      <c r="E79" s="24" t="n"/>
      <c r="F79" s="24" t="n"/>
      <c r="G79" s="15">
        <f>IF(OR($E79="",$F79="",$AH79="",$AI79="",$F79&lt;=0),"",($E79-($AH79-$AI79))/$F79)</f>
        <v/>
      </c>
      <c r="H79" s="24" t="n"/>
      <c r="I79" s="25" t="n"/>
      <c r="J79" s="25" t="n"/>
      <c r="K79" s="25" t="n"/>
      <c r="L79" s="25" t="n"/>
      <c r="M79" s="25" t="n"/>
      <c r="N79" s="25" t="n"/>
      <c r="O79" s="25" t="n"/>
      <c r="P79" s="25" t="n"/>
      <c r="Q79" s="25" t="n"/>
      <c r="R79" s="25" t="n"/>
      <c r="S79" s="25" t="n"/>
      <c r="T79" s="25" t="n"/>
      <c r="U79" s="17">
        <f>IF($AO79=0,"",IF($AQ79&gt;0,"C：見送り（Must×）",IF($AP79&gt;=2,"C：見送り（×2件以上）",IF($AO79&lt;6,"B：追加情報を取得",IF(AND($AP79=0,$AN79/($AO79*2)&gt;=0.75),"A：進める","B：追加情報を取得")))))</f>
        <v/>
      </c>
      <c r="V79" s="18">
        <f>IF($AO79=0,"",$AN79/($AO79*2))</f>
        <v/>
      </c>
      <c r="W79" s="17">
        <f>IF($A79="","",COUNTIFS(質問リスト!$A$4:$A$303,$A79,質問リスト!$O$4:$O$303,"&lt;&gt;解決"))</f>
        <v/>
      </c>
      <c r="X79" s="23" t="n"/>
      <c r="Y79" s="20" t="n"/>
      <c r="Z79" s="22" t="n"/>
      <c r="AA79" s="22" t="n"/>
      <c r="AB79" s="20" t="n"/>
      <c r="AC79" s="20" t="n"/>
      <c r="AD79" s="22" t="n"/>
      <c r="AE79" s="23" t="n"/>
      <c r="AF79" s="23" t="n"/>
      <c r="AG79" s="23" t="n"/>
      <c r="AH79" s="24" t="n"/>
      <c r="AI79" s="24" t="n"/>
      <c r="AJ79" s="17">
        <f>IF($H79="","",IF($H79&lt;300,"下限未満（対象外）",IF($H79&gt;3000,"上限超（対象外）","範囲内")))</f>
        <v/>
      </c>
      <c r="AK79" s="15">
        <f>IF(OR($E79="",$F79="",$AH79="",$F79&lt;=0),"",($E79-$AH79)/$F79)</f>
        <v/>
      </c>
      <c r="AL79" s="23" t="n"/>
      <c r="AM79" s="20" t="n"/>
      <c r="AN79" s="21">
        <f>COUNTIF($I79:$T79,"◯")*2+COUNTIF($I79:$T79,"△〜◯")*1.5+COUNTIF($I79:$T79,"△")*1+COUNTIF($I79:$T79,"×〜△")*0.5</f>
        <v/>
      </c>
      <c r="AO79" s="17">
        <f>COUNTIF($I79:$T79,"◯")+COUNTIF($I79:$T79,"△〜◯")+COUNTIF($I79:$T79,"△")+COUNTIF($I79:$T79,"×〜△")+COUNTIF($I79:$T79,"×")</f>
        <v/>
      </c>
      <c r="AP79" s="17">
        <f>COUNTIF($I79:$T79,"×")</f>
        <v/>
      </c>
      <c r="AQ79" s="17">
        <f>COUNTIF($I79,"×")+COUNTIF($J79,"×")+COUNTIF($L79,"×")+COUNTIF($O79,"×")</f>
        <v/>
      </c>
    </row>
    <row r="80">
      <c r="A80" s="23" t="n"/>
      <c r="B80" s="23" t="n"/>
      <c r="C80" s="20" t="n"/>
      <c r="D80" s="23" t="n"/>
      <c r="E80" s="24" t="n"/>
      <c r="F80" s="24" t="n"/>
      <c r="G80" s="15">
        <f>IF(OR($E80="",$F80="",$AH80="",$AI80="",$F80&lt;=0),"",($E80-($AH80-$AI80))/$F80)</f>
        <v/>
      </c>
      <c r="H80" s="24" t="n"/>
      <c r="I80" s="25" t="n"/>
      <c r="J80" s="25" t="n"/>
      <c r="K80" s="25" t="n"/>
      <c r="L80" s="25" t="n"/>
      <c r="M80" s="25" t="n"/>
      <c r="N80" s="25" t="n"/>
      <c r="O80" s="25" t="n"/>
      <c r="P80" s="25" t="n"/>
      <c r="Q80" s="25" t="n"/>
      <c r="R80" s="25" t="n"/>
      <c r="S80" s="25" t="n"/>
      <c r="T80" s="25" t="n"/>
      <c r="U80" s="17">
        <f>IF($AO80=0,"",IF($AQ80&gt;0,"C：見送り（Must×）",IF($AP80&gt;=2,"C：見送り（×2件以上）",IF($AO80&lt;6,"B：追加情報を取得",IF(AND($AP80=0,$AN80/($AO80*2)&gt;=0.75),"A：進める","B：追加情報を取得")))))</f>
        <v/>
      </c>
      <c r="V80" s="18">
        <f>IF($AO80=0,"",$AN80/($AO80*2))</f>
        <v/>
      </c>
      <c r="W80" s="17">
        <f>IF($A80="","",COUNTIFS(質問リスト!$A$4:$A$303,$A80,質問リスト!$O$4:$O$303,"&lt;&gt;解決"))</f>
        <v/>
      </c>
      <c r="X80" s="23" t="n"/>
      <c r="Y80" s="20" t="n"/>
      <c r="Z80" s="22" t="n"/>
      <c r="AA80" s="22" t="n"/>
      <c r="AB80" s="20" t="n"/>
      <c r="AC80" s="20" t="n"/>
      <c r="AD80" s="22" t="n"/>
      <c r="AE80" s="23" t="n"/>
      <c r="AF80" s="23" t="n"/>
      <c r="AG80" s="23" t="n"/>
      <c r="AH80" s="24" t="n"/>
      <c r="AI80" s="24" t="n"/>
      <c r="AJ80" s="17">
        <f>IF($H80="","",IF($H80&lt;300,"下限未満（対象外）",IF($H80&gt;3000,"上限超（対象外）","範囲内")))</f>
        <v/>
      </c>
      <c r="AK80" s="15">
        <f>IF(OR($E80="",$F80="",$AH80="",$F80&lt;=0),"",($E80-$AH80)/$F80)</f>
        <v/>
      </c>
      <c r="AL80" s="23" t="n"/>
      <c r="AM80" s="20" t="n"/>
      <c r="AN80" s="21">
        <f>COUNTIF($I80:$T80,"◯")*2+COUNTIF($I80:$T80,"△〜◯")*1.5+COUNTIF($I80:$T80,"△")*1+COUNTIF($I80:$T80,"×〜△")*0.5</f>
        <v/>
      </c>
      <c r="AO80" s="17">
        <f>COUNTIF($I80:$T80,"◯")+COUNTIF($I80:$T80,"△〜◯")+COUNTIF($I80:$T80,"△")+COUNTIF($I80:$T80,"×〜△")+COUNTIF($I80:$T80,"×")</f>
        <v/>
      </c>
      <c r="AP80" s="17">
        <f>COUNTIF($I80:$T80,"×")</f>
        <v/>
      </c>
      <c r="AQ80" s="17">
        <f>COUNTIF($I80,"×")+COUNTIF($J80,"×")+COUNTIF($L80,"×")+COUNTIF($O80,"×")</f>
        <v/>
      </c>
    </row>
    <row r="81">
      <c r="A81" s="23" t="n"/>
      <c r="B81" s="23" t="n"/>
      <c r="C81" s="20" t="n"/>
      <c r="D81" s="23" t="n"/>
      <c r="E81" s="24" t="n"/>
      <c r="F81" s="24" t="n"/>
      <c r="G81" s="15">
        <f>IF(OR($E81="",$F81="",$AH81="",$AI81="",$F81&lt;=0),"",($E81-($AH81-$AI81))/$F81)</f>
        <v/>
      </c>
      <c r="H81" s="24" t="n"/>
      <c r="I81" s="25" t="n"/>
      <c r="J81" s="25" t="n"/>
      <c r="K81" s="25" t="n"/>
      <c r="L81" s="25" t="n"/>
      <c r="M81" s="25" t="n"/>
      <c r="N81" s="25" t="n"/>
      <c r="O81" s="25" t="n"/>
      <c r="P81" s="25" t="n"/>
      <c r="Q81" s="25" t="n"/>
      <c r="R81" s="25" t="n"/>
      <c r="S81" s="25" t="n"/>
      <c r="T81" s="25" t="n"/>
      <c r="U81" s="17">
        <f>IF($AO81=0,"",IF($AQ81&gt;0,"C：見送り（Must×）",IF($AP81&gt;=2,"C：見送り（×2件以上）",IF($AO81&lt;6,"B：追加情報を取得",IF(AND($AP81=0,$AN81/($AO81*2)&gt;=0.75),"A：進める","B：追加情報を取得")))))</f>
        <v/>
      </c>
      <c r="V81" s="18">
        <f>IF($AO81=0,"",$AN81/($AO81*2))</f>
        <v/>
      </c>
      <c r="W81" s="17">
        <f>IF($A81="","",COUNTIFS(質問リスト!$A$4:$A$303,$A81,質問リスト!$O$4:$O$303,"&lt;&gt;解決"))</f>
        <v/>
      </c>
      <c r="X81" s="23" t="n"/>
      <c r="Y81" s="20" t="n"/>
      <c r="Z81" s="22" t="n"/>
      <c r="AA81" s="22" t="n"/>
      <c r="AB81" s="20" t="n"/>
      <c r="AC81" s="20" t="n"/>
      <c r="AD81" s="22" t="n"/>
      <c r="AE81" s="23" t="n"/>
      <c r="AF81" s="23" t="n"/>
      <c r="AG81" s="23" t="n"/>
      <c r="AH81" s="24" t="n"/>
      <c r="AI81" s="24" t="n"/>
      <c r="AJ81" s="17">
        <f>IF($H81="","",IF($H81&lt;300,"下限未満（対象外）",IF($H81&gt;3000,"上限超（対象外）","範囲内")))</f>
        <v/>
      </c>
      <c r="AK81" s="15">
        <f>IF(OR($E81="",$F81="",$AH81="",$F81&lt;=0),"",($E81-$AH81)/$F81)</f>
        <v/>
      </c>
      <c r="AL81" s="23" t="n"/>
      <c r="AM81" s="20" t="n"/>
      <c r="AN81" s="21">
        <f>COUNTIF($I81:$T81,"◯")*2+COUNTIF($I81:$T81,"△〜◯")*1.5+COUNTIF($I81:$T81,"△")*1+COUNTIF($I81:$T81,"×〜△")*0.5</f>
        <v/>
      </c>
      <c r="AO81" s="17">
        <f>COUNTIF($I81:$T81,"◯")+COUNTIF($I81:$T81,"△〜◯")+COUNTIF($I81:$T81,"△")+COUNTIF($I81:$T81,"×〜△")+COUNTIF($I81:$T81,"×")</f>
        <v/>
      </c>
      <c r="AP81" s="17">
        <f>COUNTIF($I81:$T81,"×")</f>
        <v/>
      </c>
      <c r="AQ81" s="17">
        <f>COUNTIF($I81,"×")+COUNTIF($J81,"×")+COUNTIF($L81,"×")+COUNTIF($O81,"×")</f>
        <v/>
      </c>
    </row>
    <row r="82">
      <c r="A82" s="23" t="n"/>
      <c r="B82" s="23" t="n"/>
      <c r="C82" s="20" t="n"/>
      <c r="D82" s="23" t="n"/>
      <c r="E82" s="24" t="n"/>
      <c r="F82" s="24" t="n"/>
      <c r="G82" s="15">
        <f>IF(OR($E82="",$F82="",$AH82="",$AI82="",$F82&lt;=0),"",($E82-($AH82-$AI82))/$F82)</f>
        <v/>
      </c>
      <c r="H82" s="24" t="n"/>
      <c r="I82" s="25" t="n"/>
      <c r="J82" s="25" t="n"/>
      <c r="K82" s="25" t="n"/>
      <c r="L82" s="25" t="n"/>
      <c r="M82" s="25" t="n"/>
      <c r="N82" s="25" t="n"/>
      <c r="O82" s="25" t="n"/>
      <c r="P82" s="25" t="n"/>
      <c r="Q82" s="25" t="n"/>
      <c r="R82" s="25" t="n"/>
      <c r="S82" s="25" t="n"/>
      <c r="T82" s="25" t="n"/>
      <c r="U82" s="17">
        <f>IF($AO82=0,"",IF($AQ82&gt;0,"C：見送り（Must×）",IF($AP82&gt;=2,"C：見送り（×2件以上）",IF($AO82&lt;6,"B：追加情報を取得",IF(AND($AP82=0,$AN82/($AO82*2)&gt;=0.75),"A：進める","B：追加情報を取得")))))</f>
        <v/>
      </c>
      <c r="V82" s="18">
        <f>IF($AO82=0,"",$AN82/($AO82*2))</f>
        <v/>
      </c>
      <c r="W82" s="17">
        <f>IF($A82="","",COUNTIFS(質問リスト!$A$4:$A$303,$A82,質問リスト!$O$4:$O$303,"&lt;&gt;解決"))</f>
        <v/>
      </c>
      <c r="X82" s="23" t="n"/>
      <c r="Y82" s="20" t="n"/>
      <c r="Z82" s="22" t="n"/>
      <c r="AA82" s="22" t="n"/>
      <c r="AB82" s="20" t="n"/>
      <c r="AC82" s="20" t="n"/>
      <c r="AD82" s="22" t="n"/>
      <c r="AE82" s="23" t="n"/>
      <c r="AF82" s="23" t="n"/>
      <c r="AG82" s="23" t="n"/>
      <c r="AH82" s="24" t="n"/>
      <c r="AI82" s="24" t="n"/>
      <c r="AJ82" s="17">
        <f>IF($H82="","",IF($H82&lt;300,"下限未満（対象外）",IF($H82&gt;3000,"上限超（対象外）","範囲内")))</f>
        <v/>
      </c>
      <c r="AK82" s="15">
        <f>IF(OR($E82="",$F82="",$AH82="",$F82&lt;=0),"",($E82-$AH82)/$F82)</f>
        <v/>
      </c>
      <c r="AL82" s="23" t="n"/>
      <c r="AM82" s="20" t="n"/>
      <c r="AN82" s="21">
        <f>COUNTIF($I82:$T82,"◯")*2+COUNTIF($I82:$T82,"△〜◯")*1.5+COUNTIF($I82:$T82,"△")*1+COUNTIF($I82:$T82,"×〜△")*0.5</f>
        <v/>
      </c>
      <c r="AO82" s="17">
        <f>COUNTIF($I82:$T82,"◯")+COUNTIF($I82:$T82,"△〜◯")+COUNTIF($I82:$T82,"△")+COUNTIF($I82:$T82,"×〜△")+COUNTIF($I82:$T82,"×")</f>
        <v/>
      </c>
      <c r="AP82" s="17">
        <f>COUNTIF($I82:$T82,"×")</f>
        <v/>
      </c>
      <c r="AQ82" s="17">
        <f>COUNTIF($I82,"×")+COUNTIF($J82,"×")+COUNTIF($L82,"×")+COUNTIF($O82,"×")</f>
        <v/>
      </c>
    </row>
    <row r="83">
      <c r="A83" s="23" t="n"/>
      <c r="B83" s="23" t="n"/>
      <c r="C83" s="20" t="n"/>
      <c r="D83" s="23" t="n"/>
      <c r="E83" s="24" t="n"/>
      <c r="F83" s="24" t="n"/>
      <c r="G83" s="15">
        <f>IF(OR($E83="",$F83="",$AH83="",$AI83="",$F83&lt;=0),"",($E83-($AH83-$AI83))/$F83)</f>
        <v/>
      </c>
      <c r="H83" s="24" t="n"/>
      <c r="I83" s="25" t="n"/>
      <c r="J83" s="25" t="n"/>
      <c r="K83" s="25" t="n"/>
      <c r="L83" s="25" t="n"/>
      <c r="M83" s="25" t="n"/>
      <c r="N83" s="25" t="n"/>
      <c r="O83" s="25" t="n"/>
      <c r="P83" s="25" t="n"/>
      <c r="Q83" s="25" t="n"/>
      <c r="R83" s="25" t="n"/>
      <c r="S83" s="25" t="n"/>
      <c r="T83" s="25" t="n"/>
      <c r="U83" s="17">
        <f>IF($AO83=0,"",IF($AQ83&gt;0,"C：見送り（Must×）",IF($AP83&gt;=2,"C：見送り（×2件以上）",IF($AO83&lt;6,"B：追加情報を取得",IF(AND($AP83=0,$AN83/($AO83*2)&gt;=0.75),"A：進める","B：追加情報を取得")))))</f>
        <v/>
      </c>
      <c r="V83" s="18">
        <f>IF($AO83=0,"",$AN83/($AO83*2))</f>
        <v/>
      </c>
      <c r="W83" s="17">
        <f>IF($A83="","",COUNTIFS(質問リスト!$A$4:$A$303,$A83,質問リスト!$O$4:$O$303,"&lt;&gt;解決"))</f>
        <v/>
      </c>
      <c r="X83" s="23" t="n"/>
      <c r="Y83" s="20" t="n"/>
      <c r="Z83" s="22" t="n"/>
      <c r="AA83" s="22" t="n"/>
      <c r="AB83" s="20" t="n"/>
      <c r="AC83" s="20" t="n"/>
      <c r="AD83" s="22" t="n"/>
      <c r="AE83" s="23" t="n"/>
      <c r="AF83" s="23" t="n"/>
      <c r="AG83" s="23" t="n"/>
      <c r="AH83" s="24" t="n"/>
      <c r="AI83" s="24" t="n"/>
      <c r="AJ83" s="17">
        <f>IF($H83="","",IF($H83&lt;300,"下限未満（対象外）",IF($H83&gt;3000,"上限超（対象外）","範囲内")))</f>
        <v/>
      </c>
      <c r="AK83" s="15">
        <f>IF(OR($E83="",$F83="",$AH83="",$F83&lt;=0),"",($E83-$AH83)/$F83)</f>
        <v/>
      </c>
      <c r="AL83" s="23" t="n"/>
      <c r="AM83" s="20" t="n"/>
      <c r="AN83" s="21">
        <f>COUNTIF($I83:$T83,"◯")*2+COUNTIF($I83:$T83,"△〜◯")*1.5+COUNTIF($I83:$T83,"△")*1+COUNTIF($I83:$T83,"×〜△")*0.5</f>
        <v/>
      </c>
      <c r="AO83" s="17">
        <f>COUNTIF($I83:$T83,"◯")+COUNTIF($I83:$T83,"△〜◯")+COUNTIF($I83:$T83,"△")+COUNTIF($I83:$T83,"×〜△")+COUNTIF($I83:$T83,"×")</f>
        <v/>
      </c>
      <c r="AP83" s="17">
        <f>COUNTIF($I83:$T83,"×")</f>
        <v/>
      </c>
      <c r="AQ83" s="17">
        <f>COUNTIF($I83,"×")+COUNTIF($J83,"×")+COUNTIF($L83,"×")+COUNTIF($O83,"×")</f>
        <v/>
      </c>
    </row>
    <row r="84">
      <c r="A84" s="23" t="n"/>
      <c r="B84" s="23" t="n"/>
      <c r="C84" s="20" t="n"/>
      <c r="D84" s="23" t="n"/>
      <c r="E84" s="24" t="n"/>
      <c r="F84" s="24" t="n"/>
      <c r="G84" s="15">
        <f>IF(OR($E84="",$F84="",$AH84="",$AI84="",$F84&lt;=0),"",($E84-($AH84-$AI84))/$F84)</f>
        <v/>
      </c>
      <c r="H84" s="24" t="n"/>
      <c r="I84" s="25" t="n"/>
      <c r="J84" s="25" t="n"/>
      <c r="K84" s="25" t="n"/>
      <c r="L84" s="25" t="n"/>
      <c r="M84" s="25" t="n"/>
      <c r="N84" s="25" t="n"/>
      <c r="O84" s="25" t="n"/>
      <c r="P84" s="25" t="n"/>
      <c r="Q84" s="25" t="n"/>
      <c r="R84" s="25" t="n"/>
      <c r="S84" s="25" t="n"/>
      <c r="T84" s="25" t="n"/>
      <c r="U84" s="17">
        <f>IF($AO84=0,"",IF($AQ84&gt;0,"C：見送り（Must×）",IF($AP84&gt;=2,"C：見送り（×2件以上）",IF($AO84&lt;6,"B：追加情報を取得",IF(AND($AP84=0,$AN84/($AO84*2)&gt;=0.75),"A：進める","B：追加情報を取得")))))</f>
        <v/>
      </c>
      <c r="V84" s="18">
        <f>IF($AO84=0,"",$AN84/($AO84*2))</f>
        <v/>
      </c>
      <c r="W84" s="17">
        <f>IF($A84="","",COUNTIFS(質問リスト!$A$4:$A$303,$A84,質問リスト!$O$4:$O$303,"&lt;&gt;解決"))</f>
        <v/>
      </c>
      <c r="X84" s="23" t="n"/>
      <c r="Y84" s="20" t="n"/>
      <c r="Z84" s="22" t="n"/>
      <c r="AA84" s="22" t="n"/>
      <c r="AB84" s="20" t="n"/>
      <c r="AC84" s="20" t="n"/>
      <c r="AD84" s="22" t="n"/>
      <c r="AE84" s="23" t="n"/>
      <c r="AF84" s="23" t="n"/>
      <c r="AG84" s="23" t="n"/>
      <c r="AH84" s="24" t="n"/>
      <c r="AI84" s="24" t="n"/>
      <c r="AJ84" s="17">
        <f>IF($H84="","",IF($H84&lt;300,"下限未満（対象外）",IF($H84&gt;3000,"上限超（対象外）","範囲内")))</f>
        <v/>
      </c>
      <c r="AK84" s="15">
        <f>IF(OR($E84="",$F84="",$AH84="",$F84&lt;=0),"",($E84-$AH84)/$F84)</f>
        <v/>
      </c>
      <c r="AL84" s="23" t="n"/>
      <c r="AM84" s="20" t="n"/>
      <c r="AN84" s="21">
        <f>COUNTIF($I84:$T84,"◯")*2+COUNTIF($I84:$T84,"△〜◯")*1.5+COUNTIF($I84:$T84,"△")*1+COUNTIF($I84:$T84,"×〜△")*0.5</f>
        <v/>
      </c>
      <c r="AO84" s="17">
        <f>COUNTIF($I84:$T84,"◯")+COUNTIF($I84:$T84,"△〜◯")+COUNTIF($I84:$T84,"△")+COUNTIF($I84:$T84,"×〜△")+COUNTIF($I84:$T84,"×")</f>
        <v/>
      </c>
      <c r="AP84" s="17">
        <f>COUNTIF($I84:$T84,"×")</f>
        <v/>
      </c>
      <c r="AQ84" s="17">
        <f>COUNTIF($I84,"×")+COUNTIF($J84,"×")+COUNTIF($L84,"×")+COUNTIF($O84,"×")</f>
        <v/>
      </c>
    </row>
    <row r="85">
      <c r="A85" s="23" t="n"/>
      <c r="B85" s="23" t="n"/>
      <c r="C85" s="20" t="n"/>
      <c r="D85" s="23" t="n"/>
      <c r="E85" s="24" t="n"/>
      <c r="F85" s="24" t="n"/>
      <c r="G85" s="15">
        <f>IF(OR($E85="",$F85="",$AH85="",$AI85="",$F85&lt;=0),"",($E85-($AH85-$AI85))/$F85)</f>
        <v/>
      </c>
      <c r="H85" s="24" t="n"/>
      <c r="I85" s="25" t="n"/>
      <c r="J85" s="25" t="n"/>
      <c r="K85" s="25" t="n"/>
      <c r="L85" s="25" t="n"/>
      <c r="M85" s="25" t="n"/>
      <c r="N85" s="25" t="n"/>
      <c r="O85" s="25" t="n"/>
      <c r="P85" s="25" t="n"/>
      <c r="Q85" s="25" t="n"/>
      <c r="R85" s="25" t="n"/>
      <c r="S85" s="25" t="n"/>
      <c r="T85" s="25" t="n"/>
      <c r="U85" s="17">
        <f>IF($AO85=0,"",IF($AQ85&gt;0,"C：見送り（Must×）",IF($AP85&gt;=2,"C：見送り（×2件以上）",IF($AO85&lt;6,"B：追加情報を取得",IF(AND($AP85=0,$AN85/($AO85*2)&gt;=0.75),"A：進める","B：追加情報を取得")))))</f>
        <v/>
      </c>
      <c r="V85" s="18">
        <f>IF($AO85=0,"",$AN85/($AO85*2))</f>
        <v/>
      </c>
      <c r="W85" s="17">
        <f>IF($A85="","",COUNTIFS(質問リスト!$A$4:$A$303,$A85,質問リスト!$O$4:$O$303,"&lt;&gt;解決"))</f>
        <v/>
      </c>
      <c r="X85" s="23" t="n"/>
      <c r="Y85" s="20" t="n"/>
      <c r="Z85" s="22" t="n"/>
      <c r="AA85" s="22" t="n"/>
      <c r="AB85" s="20" t="n"/>
      <c r="AC85" s="20" t="n"/>
      <c r="AD85" s="22" t="n"/>
      <c r="AE85" s="23" t="n"/>
      <c r="AF85" s="23" t="n"/>
      <c r="AG85" s="23" t="n"/>
      <c r="AH85" s="24" t="n"/>
      <c r="AI85" s="24" t="n"/>
      <c r="AJ85" s="17">
        <f>IF($H85="","",IF($H85&lt;300,"下限未満（対象外）",IF($H85&gt;3000,"上限超（対象外）","範囲内")))</f>
        <v/>
      </c>
      <c r="AK85" s="15">
        <f>IF(OR($E85="",$F85="",$AH85="",$F85&lt;=0),"",($E85-$AH85)/$F85)</f>
        <v/>
      </c>
      <c r="AL85" s="23" t="n"/>
      <c r="AM85" s="20" t="n"/>
      <c r="AN85" s="21">
        <f>COUNTIF($I85:$T85,"◯")*2+COUNTIF($I85:$T85,"△〜◯")*1.5+COUNTIF($I85:$T85,"△")*1+COUNTIF($I85:$T85,"×〜△")*0.5</f>
        <v/>
      </c>
      <c r="AO85" s="17">
        <f>COUNTIF($I85:$T85,"◯")+COUNTIF($I85:$T85,"△〜◯")+COUNTIF($I85:$T85,"△")+COUNTIF($I85:$T85,"×〜△")+COUNTIF($I85:$T85,"×")</f>
        <v/>
      </c>
      <c r="AP85" s="17">
        <f>COUNTIF($I85:$T85,"×")</f>
        <v/>
      </c>
      <c r="AQ85" s="17">
        <f>COUNTIF($I85,"×")+COUNTIF($J85,"×")+COUNTIF($L85,"×")+COUNTIF($O85,"×")</f>
        <v/>
      </c>
    </row>
    <row r="86">
      <c r="A86" s="23" t="n"/>
      <c r="B86" s="23" t="n"/>
      <c r="C86" s="20" t="n"/>
      <c r="D86" s="23" t="n"/>
      <c r="E86" s="24" t="n"/>
      <c r="F86" s="24" t="n"/>
      <c r="G86" s="15">
        <f>IF(OR($E86="",$F86="",$AH86="",$AI86="",$F86&lt;=0),"",($E86-($AH86-$AI86))/$F86)</f>
        <v/>
      </c>
      <c r="H86" s="24" t="n"/>
      <c r="I86" s="25" t="n"/>
      <c r="J86" s="25" t="n"/>
      <c r="K86" s="25" t="n"/>
      <c r="L86" s="25" t="n"/>
      <c r="M86" s="25" t="n"/>
      <c r="N86" s="25" t="n"/>
      <c r="O86" s="25" t="n"/>
      <c r="P86" s="25" t="n"/>
      <c r="Q86" s="25" t="n"/>
      <c r="R86" s="25" t="n"/>
      <c r="S86" s="25" t="n"/>
      <c r="T86" s="25" t="n"/>
      <c r="U86" s="17">
        <f>IF($AO86=0,"",IF($AQ86&gt;0,"C：見送り（Must×）",IF($AP86&gt;=2,"C：見送り（×2件以上）",IF($AO86&lt;6,"B：追加情報を取得",IF(AND($AP86=0,$AN86/($AO86*2)&gt;=0.75),"A：進める","B：追加情報を取得")))))</f>
        <v/>
      </c>
      <c r="V86" s="18">
        <f>IF($AO86=0,"",$AN86/($AO86*2))</f>
        <v/>
      </c>
      <c r="W86" s="17">
        <f>IF($A86="","",COUNTIFS(質問リスト!$A$4:$A$303,$A86,質問リスト!$O$4:$O$303,"&lt;&gt;解決"))</f>
        <v/>
      </c>
      <c r="X86" s="23" t="n"/>
      <c r="Y86" s="20" t="n"/>
      <c r="Z86" s="22" t="n"/>
      <c r="AA86" s="22" t="n"/>
      <c r="AB86" s="20" t="n"/>
      <c r="AC86" s="20" t="n"/>
      <c r="AD86" s="22" t="n"/>
      <c r="AE86" s="23" t="n"/>
      <c r="AF86" s="23" t="n"/>
      <c r="AG86" s="23" t="n"/>
      <c r="AH86" s="24" t="n"/>
      <c r="AI86" s="24" t="n"/>
      <c r="AJ86" s="17">
        <f>IF($H86="","",IF($H86&lt;300,"下限未満（対象外）",IF($H86&gt;3000,"上限超（対象外）","範囲内")))</f>
        <v/>
      </c>
      <c r="AK86" s="15">
        <f>IF(OR($E86="",$F86="",$AH86="",$F86&lt;=0),"",($E86-$AH86)/$F86)</f>
        <v/>
      </c>
      <c r="AL86" s="23" t="n"/>
      <c r="AM86" s="20" t="n"/>
      <c r="AN86" s="21">
        <f>COUNTIF($I86:$T86,"◯")*2+COUNTIF($I86:$T86,"△〜◯")*1.5+COUNTIF($I86:$T86,"△")*1+COUNTIF($I86:$T86,"×〜△")*0.5</f>
        <v/>
      </c>
      <c r="AO86" s="17">
        <f>COUNTIF($I86:$T86,"◯")+COUNTIF($I86:$T86,"△〜◯")+COUNTIF($I86:$T86,"△")+COUNTIF($I86:$T86,"×〜△")+COUNTIF($I86:$T86,"×")</f>
        <v/>
      </c>
      <c r="AP86" s="17">
        <f>COUNTIF($I86:$T86,"×")</f>
        <v/>
      </c>
      <c r="AQ86" s="17">
        <f>COUNTIF($I86,"×")+COUNTIF($J86,"×")+COUNTIF($L86,"×")+COUNTIF($O86,"×")</f>
        <v/>
      </c>
    </row>
    <row r="87">
      <c r="A87" s="23" t="n"/>
      <c r="B87" s="23" t="n"/>
      <c r="C87" s="20" t="n"/>
      <c r="D87" s="23" t="n"/>
      <c r="E87" s="24" t="n"/>
      <c r="F87" s="24" t="n"/>
      <c r="G87" s="15">
        <f>IF(OR($E87="",$F87="",$AH87="",$AI87="",$F87&lt;=0),"",($E87-($AH87-$AI87))/$F87)</f>
        <v/>
      </c>
      <c r="H87" s="24" t="n"/>
      <c r="I87" s="25" t="n"/>
      <c r="J87" s="25" t="n"/>
      <c r="K87" s="25" t="n"/>
      <c r="L87" s="25" t="n"/>
      <c r="M87" s="25" t="n"/>
      <c r="N87" s="25" t="n"/>
      <c r="O87" s="25" t="n"/>
      <c r="P87" s="25" t="n"/>
      <c r="Q87" s="25" t="n"/>
      <c r="R87" s="25" t="n"/>
      <c r="S87" s="25" t="n"/>
      <c r="T87" s="25" t="n"/>
      <c r="U87" s="17">
        <f>IF($AO87=0,"",IF($AQ87&gt;0,"C：見送り（Must×）",IF($AP87&gt;=2,"C：見送り（×2件以上）",IF($AO87&lt;6,"B：追加情報を取得",IF(AND($AP87=0,$AN87/($AO87*2)&gt;=0.75),"A：進める","B：追加情報を取得")))))</f>
        <v/>
      </c>
      <c r="V87" s="18">
        <f>IF($AO87=0,"",$AN87/($AO87*2))</f>
        <v/>
      </c>
      <c r="W87" s="17">
        <f>IF($A87="","",COUNTIFS(質問リスト!$A$4:$A$303,$A87,質問リスト!$O$4:$O$303,"&lt;&gt;解決"))</f>
        <v/>
      </c>
      <c r="X87" s="23" t="n"/>
      <c r="Y87" s="20" t="n"/>
      <c r="Z87" s="22" t="n"/>
      <c r="AA87" s="22" t="n"/>
      <c r="AB87" s="20" t="n"/>
      <c r="AC87" s="20" t="n"/>
      <c r="AD87" s="22" t="n"/>
      <c r="AE87" s="23" t="n"/>
      <c r="AF87" s="23" t="n"/>
      <c r="AG87" s="23" t="n"/>
      <c r="AH87" s="24" t="n"/>
      <c r="AI87" s="24" t="n"/>
      <c r="AJ87" s="17">
        <f>IF($H87="","",IF($H87&lt;300,"下限未満（対象外）",IF($H87&gt;3000,"上限超（対象外）","範囲内")))</f>
        <v/>
      </c>
      <c r="AK87" s="15">
        <f>IF(OR($E87="",$F87="",$AH87="",$F87&lt;=0),"",($E87-$AH87)/$F87)</f>
        <v/>
      </c>
      <c r="AL87" s="23" t="n"/>
      <c r="AM87" s="20" t="n"/>
      <c r="AN87" s="21">
        <f>COUNTIF($I87:$T87,"◯")*2+COUNTIF($I87:$T87,"△〜◯")*1.5+COUNTIF($I87:$T87,"△")*1+COUNTIF($I87:$T87,"×〜△")*0.5</f>
        <v/>
      </c>
      <c r="AO87" s="17">
        <f>COUNTIF($I87:$T87,"◯")+COUNTIF($I87:$T87,"△〜◯")+COUNTIF($I87:$T87,"△")+COUNTIF($I87:$T87,"×〜△")+COUNTIF($I87:$T87,"×")</f>
        <v/>
      </c>
      <c r="AP87" s="17">
        <f>COUNTIF($I87:$T87,"×")</f>
        <v/>
      </c>
      <c r="AQ87" s="17">
        <f>COUNTIF($I87,"×")+COUNTIF($J87,"×")+COUNTIF($L87,"×")+COUNTIF($O87,"×")</f>
        <v/>
      </c>
    </row>
    <row r="88">
      <c r="A88" s="23" t="n"/>
      <c r="B88" s="23" t="n"/>
      <c r="C88" s="20" t="n"/>
      <c r="D88" s="23" t="n"/>
      <c r="E88" s="24" t="n"/>
      <c r="F88" s="24" t="n"/>
      <c r="G88" s="15">
        <f>IF(OR($E88="",$F88="",$AH88="",$AI88="",$F88&lt;=0),"",($E88-($AH88-$AI88))/$F88)</f>
        <v/>
      </c>
      <c r="H88" s="24" t="n"/>
      <c r="I88" s="25" t="n"/>
      <c r="J88" s="25" t="n"/>
      <c r="K88" s="25" t="n"/>
      <c r="L88" s="25" t="n"/>
      <c r="M88" s="25" t="n"/>
      <c r="N88" s="25" t="n"/>
      <c r="O88" s="25" t="n"/>
      <c r="P88" s="25" t="n"/>
      <c r="Q88" s="25" t="n"/>
      <c r="R88" s="25" t="n"/>
      <c r="S88" s="25" t="n"/>
      <c r="T88" s="25" t="n"/>
      <c r="U88" s="17">
        <f>IF($AO88=0,"",IF($AQ88&gt;0,"C：見送り（Must×）",IF($AP88&gt;=2,"C：見送り（×2件以上）",IF($AO88&lt;6,"B：追加情報を取得",IF(AND($AP88=0,$AN88/($AO88*2)&gt;=0.75),"A：進める","B：追加情報を取得")))))</f>
        <v/>
      </c>
      <c r="V88" s="18">
        <f>IF($AO88=0,"",$AN88/($AO88*2))</f>
        <v/>
      </c>
      <c r="W88" s="17">
        <f>IF($A88="","",COUNTIFS(質問リスト!$A$4:$A$303,$A88,質問リスト!$O$4:$O$303,"&lt;&gt;解決"))</f>
        <v/>
      </c>
      <c r="X88" s="23" t="n"/>
      <c r="Y88" s="20" t="n"/>
      <c r="Z88" s="22" t="n"/>
      <c r="AA88" s="22" t="n"/>
      <c r="AB88" s="20" t="n"/>
      <c r="AC88" s="20" t="n"/>
      <c r="AD88" s="22" t="n"/>
      <c r="AE88" s="23" t="n"/>
      <c r="AF88" s="23" t="n"/>
      <c r="AG88" s="23" t="n"/>
      <c r="AH88" s="24" t="n"/>
      <c r="AI88" s="24" t="n"/>
      <c r="AJ88" s="17">
        <f>IF($H88="","",IF($H88&lt;300,"下限未満（対象外）",IF($H88&gt;3000,"上限超（対象外）","範囲内")))</f>
        <v/>
      </c>
      <c r="AK88" s="15">
        <f>IF(OR($E88="",$F88="",$AH88="",$F88&lt;=0),"",($E88-$AH88)/$F88)</f>
        <v/>
      </c>
      <c r="AL88" s="23" t="n"/>
      <c r="AM88" s="20" t="n"/>
      <c r="AN88" s="21">
        <f>COUNTIF($I88:$T88,"◯")*2+COUNTIF($I88:$T88,"△〜◯")*1.5+COUNTIF($I88:$T88,"△")*1+COUNTIF($I88:$T88,"×〜△")*0.5</f>
        <v/>
      </c>
      <c r="AO88" s="17">
        <f>COUNTIF($I88:$T88,"◯")+COUNTIF($I88:$T88,"△〜◯")+COUNTIF($I88:$T88,"△")+COUNTIF($I88:$T88,"×〜△")+COUNTIF($I88:$T88,"×")</f>
        <v/>
      </c>
      <c r="AP88" s="17">
        <f>COUNTIF($I88:$T88,"×")</f>
        <v/>
      </c>
      <c r="AQ88" s="17">
        <f>COUNTIF($I88,"×")+COUNTIF($J88,"×")+COUNTIF($L88,"×")+COUNTIF($O88,"×")</f>
        <v/>
      </c>
    </row>
    <row r="89">
      <c r="A89" s="23" t="n"/>
      <c r="B89" s="23" t="n"/>
      <c r="C89" s="20" t="n"/>
      <c r="D89" s="23" t="n"/>
      <c r="E89" s="24" t="n"/>
      <c r="F89" s="24" t="n"/>
      <c r="G89" s="15">
        <f>IF(OR($E89="",$F89="",$AH89="",$AI89="",$F89&lt;=0),"",($E89-($AH89-$AI89))/$F89)</f>
        <v/>
      </c>
      <c r="H89" s="24" t="n"/>
      <c r="I89" s="25" t="n"/>
      <c r="J89" s="25" t="n"/>
      <c r="K89" s="25" t="n"/>
      <c r="L89" s="25" t="n"/>
      <c r="M89" s="25" t="n"/>
      <c r="N89" s="25" t="n"/>
      <c r="O89" s="25" t="n"/>
      <c r="P89" s="25" t="n"/>
      <c r="Q89" s="25" t="n"/>
      <c r="R89" s="25" t="n"/>
      <c r="S89" s="25" t="n"/>
      <c r="T89" s="25" t="n"/>
      <c r="U89" s="17">
        <f>IF($AO89=0,"",IF($AQ89&gt;0,"C：見送り（Must×）",IF($AP89&gt;=2,"C：見送り（×2件以上）",IF($AO89&lt;6,"B：追加情報を取得",IF(AND($AP89=0,$AN89/($AO89*2)&gt;=0.75),"A：進める","B：追加情報を取得")))))</f>
        <v/>
      </c>
      <c r="V89" s="18">
        <f>IF($AO89=0,"",$AN89/($AO89*2))</f>
        <v/>
      </c>
      <c r="W89" s="17">
        <f>IF($A89="","",COUNTIFS(質問リスト!$A$4:$A$303,$A89,質問リスト!$O$4:$O$303,"&lt;&gt;解決"))</f>
        <v/>
      </c>
      <c r="X89" s="23" t="n"/>
      <c r="Y89" s="20" t="n"/>
      <c r="Z89" s="22" t="n"/>
      <c r="AA89" s="22" t="n"/>
      <c r="AB89" s="20" t="n"/>
      <c r="AC89" s="20" t="n"/>
      <c r="AD89" s="22" t="n"/>
      <c r="AE89" s="23" t="n"/>
      <c r="AF89" s="23" t="n"/>
      <c r="AG89" s="23" t="n"/>
      <c r="AH89" s="24" t="n"/>
      <c r="AI89" s="24" t="n"/>
      <c r="AJ89" s="17">
        <f>IF($H89="","",IF($H89&lt;300,"下限未満（対象外）",IF($H89&gt;3000,"上限超（対象外）","範囲内")))</f>
        <v/>
      </c>
      <c r="AK89" s="15">
        <f>IF(OR($E89="",$F89="",$AH89="",$F89&lt;=0),"",($E89-$AH89)/$F89)</f>
        <v/>
      </c>
      <c r="AL89" s="23" t="n"/>
      <c r="AM89" s="20" t="n"/>
      <c r="AN89" s="21">
        <f>COUNTIF($I89:$T89,"◯")*2+COUNTIF($I89:$T89,"△〜◯")*1.5+COUNTIF($I89:$T89,"△")*1+COUNTIF($I89:$T89,"×〜△")*0.5</f>
        <v/>
      </c>
      <c r="AO89" s="17">
        <f>COUNTIF($I89:$T89,"◯")+COUNTIF($I89:$T89,"△〜◯")+COUNTIF($I89:$T89,"△")+COUNTIF($I89:$T89,"×〜△")+COUNTIF($I89:$T89,"×")</f>
        <v/>
      </c>
      <c r="AP89" s="17">
        <f>COUNTIF($I89:$T89,"×")</f>
        <v/>
      </c>
      <c r="AQ89" s="17">
        <f>COUNTIF($I89,"×")+COUNTIF($J89,"×")+COUNTIF($L89,"×")+COUNTIF($O89,"×")</f>
        <v/>
      </c>
    </row>
    <row r="90">
      <c r="A90" s="23" t="n"/>
      <c r="B90" s="23" t="n"/>
      <c r="C90" s="20" t="n"/>
      <c r="D90" s="23" t="n"/>
      <c r="E90" s="24" t="n"/>
      <c r="F90" s="24" t="n"/>
      <c r="G90" s="15">
        <f>IF(OR($E90="",$F90="",$AH90="",$AI90="",$F90&lt;=0),"",($E90-($AH90-$AI90))/$F90)</f>
        <v/>
      </c>
      <c r="H90" s="24" t="n"/>
      <c r="I90" s="25" t="n"/>
      <c r="J90" s="25" t="n"/>
      <c r="K90" s="25" t="n"/>
      <c r="L90" s="25" t="n"/>
      <c r="M90" s="25" t="n"/>
      <c r="N90" s="25" t="n"/>
      <c r="O90" s="25" t="n"/>
      <c r="P90" s="25" t="n"/>
      <c r="Q90" s="25" t="n"/>
      <c r="R90" s="25" t="n"/>
      <c r="S90" s="25" t="n"/>
      <c r="T90" s="25" t="n"/>
      <c r="U90" s="17">
        <f>IF($AO90=0,"",IF($AQ90&gt;0,"C：見送り（Must×）",IF($AP90&gt;=2,"C：見送り（×2件以上）",IF($AO90&lt;6,"B：追加情報を取得",IF(AND($AP90=0,$AN90/($AO90*2)&gt;=0.75),"A：進める","B：追加情報を取得")))))</f>
        <v/>
      </c>
      <c r="V90" s="18">
        <f>IF($AO90=0,"",$AN90/($AO90*2))</f>
        <v/>
      </c>
      <c r="W90" s="17">
        <f>IF($A90="","",COUNTIFS(質問リスト!$A$4:$A$303,$A90,質問リスト!$O$4:$O$303,"&lt;&gt;解決"))</f>
        <v/>
      </c>
      <c r="X90" s="23" t="n"/>
      <c r="Y90" s="20" t="n"/>
      <c r="Z90" s="22" t="n"/>
      <c r="AA90" s="22" t="n"/>
      <c r="AB90" s="20" t="n"/>
      <c r="AC90" s="20" t="n"/>
      <c r="AD90" s="22" t="n"/>
      <c r="AE90" s="23" t="n"/>
      <c r="AF90" s="23" t="n"/>
      <c r="AG90" s="23" t="n"/>
      <c r="AH90" s="24" t="n"/>
      <c r="AI90" s="24" t="n"/>
      <c r="AJ90" s="17">
        <f>IF($H90="","",IF($H90&lt;300,"下限未満（対象外）",IF($H90&gt;3000,"上限超（対象外）","範囲内")))</f>
        <v/>
      </c>
      <c r="AK90" s="15">
        <f>IF(OR($E90="",$F90="",$AH90="",$F90&lt;=0),"",($E90-$AH90)/$F90)</f>
        <v/>
      </c>
      <c r="AL90" s="23" t="n"/>
      <c r="AM90" s="20" t="n"/>
      <c r="AN90" s="21">
        <f>COUNTIF($I90:$T90,"◯")*2+COUNTIF($I90:$T90,"△〜◯")*1.5+COUNTIF($I90:$T90,"△")*1+COUNTIF($I90:$T90,"×〜△")*0.5</f>
        <v/>
      </c>
      <c r="AO90" s="17">
        <f>COUNTIF($I90:$T90,"◯")+COUNTIF($I90:$T90,"△〜◯")+COUNTIF($I90:$T90,"△")+COUNTIF($I90:$T90,"×〜△")+COUNTIF($I90:$T90,"×")</f>
        <v/>
      </c>
      <c r="AP90" s="17">
        <f>COUNTIF($I90:$T90,"×")</f>
        <v/>
      </c>
      <c r="AQ90" s="17">
        <f>COUNTIF($I90,"×")+COUNTIF($J90,"×")+COUNTIF($L90,"×")+COUNTIF($O90,"×")</f>
        <v/>
      </c>
    </row>
    <row r="91">
      <c r="A91" s="23" t="n"/>
      <c r="B91" s="23" t="n"/>
      <c r="C91" s="20" t="n"/>
      <c r="D91" s="23" t="n"/>
      <c r="E91" s="24" t="n"/>
      <c r="F91" s="24" t="n"/>
      <c r="G91" s="15">
        <f>IF(OR($E91="",$F91="",$AH91="",$AI91="",$F91&lt;=0),"",($E91-($AH91-$AI91))/$F91)</f>
        <v/>
      </c>
      <c r="H91" s="24" t="n"/>
      <c r="I91" s="25" t="n"/>
      <c r="J91" s="25" t="n"/>
      <c r="K91" s="25" t="n"/>
      <c r="L91" s="25" t="n"/>
      <c r="M91" s="25" t="n"/>
      <c r="N91" s="25" t="n"/>
      <c r="O91" s="25" t="n"/>
      <c r="P91" s="25" t="n"/>
      <c r="Q91" s="25" t="n"/>
      <c r="R91" s="25" t="n"/>
      <c r="S91" s="25" t="n"/>
      <c r="T91" s="25" t="n"/>
      <c r="U91" s="17">
        <f>IF($AO91=0,"",IF($AQ91&gt;0,"C：見送り（Must×）",IF($AP91&gt;=2,"C：見送り（×2件以上）",IF($AO91&lt;6,"B：追加情報を取得",IF(AND($AP91=0,$AN91/($AO91*2)&gt;=0.75),"A：進める","B：追加情報を取得")))))</f>
        <v/>
      </c>
      <c r="V91" s="18">
        <f>IF($AO91=0,"",$AN91/($AO91*2))</f>
        <v/>
      </c>
      <c r="W91" s="17">
        <f>IF($A91="","",COUNTIFS(質問リスト!$A$4:$A$303,$A91,質問リスト!$O$4:$O$303,"&lt;&gt;解決"))</f>
        <v/>
      </c>
      <c r="X91" s="23" t="n"/>
      <c r="Y91" s="20" t="n"/>
      <c r="Z91" s="22" t="n"/>
      <c r="AA91" s="22" t="n"/>
      <c r="AB91" s="20" t="n"/>
      <c r="AC91" s="20" t="n"/>
      <c r="AD91" s="22" t="n"/>
      <c r="AE91" s="23" t="n"/>
      <c r="AF91" s="23" t="n"/>
      <c r="AG91" s="23" t="n"/>
      <c r="AH91" s="24" t="n"/>
      <c r="AI91" s="24" t="n"/>
      <c r="AJ91" s="17">
        <f>IF($H91="","",IF($H91&lt;300,"下限未満（対象外）",IF($H91&gt;3000,"上限超（対象外）","範囲内")))</f>
        <v/>
      </c>
      <c r="AK91" s="15">
        <f>IF(OR($E91="",$F91="",$AH91="",$F91&lt;=0),"",($E91-$AH91)/$F91)</f>
        <v/>
      </c>
      <c r="AL91" s="23" t="n"/>
      <c r="AM91" s="20" t="n"/>
      <c r="AN91" s="21">
        <f>COUNTIF($I91:$T91,"◯")*2+COUNTIF($I91:$T91,"△〜◯")*1.5+COUNTIF($I91:$T91,"△")*1+COUNTIF($I91:$T91,"×〜△")*0.5</f>
        <v/>
      </c>
      <c r="AO91" s="17">
        <f>COUNTIF($I91:$T91,"◯")+COUNTIF($I91:$T91,"△〜◯")+COUNTIF($I91:$T91,"△")+COUNTIF($I91:$T91,"×〜△")+COUNTIF($I91:$T91,"×")</f>
        <v/>
      </c>
      <c r="AP91" s="17">
        <f>COUNTIF($I91:$T91,"×")</f>
        <v/>
      </c>
      <c r="AQ91" s="17">
        <f>COUNTIF($I91,"×")+COUNTIF($J91,"×")+COUNTIF($L91,"×")+COUNTIF($O91,"×")</f>
        <v/>
      </c>
    </row>
    <row r="92">
      <c r="A92" s="23" t="n"/>
      <c r="B92" s="23" t="n"/>
      <c r="C92" s="20" t="n"/>
      <c r="D92" s="23" t="n"/>
      <c r="E92" s="24" t="n"/>
      <c r="F92" s="24" t="n"/>
      <c r="G92" s="15">
        <f>IF(OR($E92="",$F92="",$AH92="",$AI92="",$F92&lt;=0),"",($E92-($AH92-$AI92))/$F92)</f>
        <v/>
      </c>
      <c r="H92" s="24" t="n"/>
      <c r="I92" s="25" t="n"/>
      <c r="J92" s="25" t="n"/>
      <c r="K92" s="25" t="n"/>
      <c r="L92" s="25" t="n"/>
      <c r="M92" s="25" t="n"/>
      <c r="N92" s="25" t="n"/>
      <c r="O92" s="25" t="n"/>
      <c r="P92" s="25" t="n"/>
      <c r="Q92" s="25" t="n"/>
      <c r="R92" s="25" t="n"/>
      <c r="S92" s="25" t="n"/>
      <c r="T92" s="25" t="n"/>
      <c r="U92" s="17">
        <f>IF($AO92=0,"",IF($AQ92&gt;0,"C：見送り（Must×）",IF($AP92&gt;=2,"C：見送り（×2件以上）",IF($AO92&lt;6,"B：追加情報を取得",IF(AND($AP92=0,$AN92/($AO92*2)&gt;=0.75),"A：進める","B：追加情報を取得")))))</f>
        <v/>
      </c>
      <c r="V92" s="18">
        <f>IF($AO92=0,"",$AN92/($AO92*2))</f>
        <v/>
      </c>
      <c r="W92" s="17">
        <f>IF($A92="","",COUNTIFS(質問リスト!$A$4:$A$303,$A92,質問リスト!$O$4:$O$303,"&lt;&gt;解決"))</f>
        <v/>
      </c>
      <c r="X92" s="23" t="n"/>
      <c r="Y92" s="20" t="n"/>
      <c r="Z92" s="22" t="n"/>
      <c r="AA92" s="22" t="n"/>
      <c r="AB92" s="20" t="n"/>
      <c r="AC92" s="20" t="n"/>
      <c r="AD92" s="22" t="n"/>
      <c r="AE92" s="23" t="n"/>
      <c r="AF92" s="23" t="n"/>
      <c r="AG92" s="23" t="n"/>
      <c r="AH92" s="24" t="n"/>
      <c r="AI92" s="24" t="n"/>
      <c r="AJ92" s="17">
        <f>IF($H92="","",IF($H92&lt;300,"下限未満（対象外）",IF($H92&gt;3000,"上限超（対象外）","範囲内")))</f>
        <v/>
      </c>
      <c r="AK92" s="15">
        <f>IF(OR($E92="",$F92="",$AH92="",$F92&lt;=0),"",($E92-$AH92)/$F92)</f>
        <v/>
      </c>
      <c r="AL92" s="23" t="n"/>
      <c r="AM92" s="20" t="n"/>
      <c r="AN92" s="21">
        <f>COUNTIF($I92:$T92,"◯")*2+COUNTIF($I92:$T92,"△〜◯")*1.5+COUNTIF($I92:$T92,"△")*1+COUNTIF($I92:$T92,"×〜△")*0.5</f>
        <v/>
      </c>
      <c r="AO92" s="17">
        <f>COUNTIF($I92:$T92,"◯")+COUNTIF($I92:$T92,"△〜◯")+COUNTIF($I92:$T92,"△")+COUNTIF($I92:$T92,"×〜△")+COUNTIF($I92:$T92,"×")</f>
        <v/>
      </c>
      <c r="AP92" s="17">
        <f>COUNTIF($I92:$T92,"×")</f>
        <v/>
      </c>
      <c r="AQ92" s="17">
        <f>COUNTIF($I92,"×")+COUNTIF($J92,"×")+COUNTIF($L92,"×")+COUNTIF($O92,"×")</f>
        <v/>
      </c>
    </row>
    <row r="93">
      <c r="A93" s="23" t="n"/>
      <c r="B93" s="23" t="n"/>
      <c r="C93" s="20" t="n"/>
      <c r="D93" s="23" t="n"/>
      <c r="E93" s="24" t="n"/>
      <c r="F93" s="24" t="n"/>
      <c r="G93" s="15">
        <f>IF(OR($E93="",$F93="",$AH93="",$AI93="",$F93&lt;=0),"",($E93-($AH93-$AI93))/$F93)</f>
        <v/>
      </c>
      <c r="H93" s="24" t="n"/>
      <c r="I93" s="25" t="n"/>
      <c r="J93" s="25" t="n"/>
      <c r="K93" s="25" t="n"/>
      <c r="L93" s="25" t="n"/>
      <c r="M93" s="25" t="n"/>
      <c r="N93" s="25" t="n"/>
      <c r="O93" s="25" t="n"/>
      <c r="P93" s="25" t="n"/>
      <c r="Q93" s="25" t="n"/>
      <c r="R93" s="25" t="n"/>
      <c r="S93" s="25" t="n"/>
      <c r="T93" s="25" t="n"/>
      <c r="U93" s="17">
        <f>IF($AO93=0,"",IF($AQ93&gt;0,"C：見送り（Must×）",IF($AP93&gt;=2,"C：見送り（×2件以上）",IF($AO93&lt;6,"B：追加情報を取得",IF(AND($AP93=0,$AN93/($AO93*2)&gt;=0.75),"A：進める","B：追加情報を取得")))))</f>
        <v/>
      </c>
      <c r="V93" s="18">
        <f>IF($AO93=0,"",$AN93/($AO93*2))</f>
        <v/>
      </c>
      <c r="W93" s="17">
        <f>IF($A93="","",COUNTIFS(質問リスト!$A$4:$A$303,$A93,質問リスト!$O$4:$O$303,"&lt;&gt;解決"))</f>
        <v/>
      </c>
      <c r="X93" s="23" t="n"/>
      <c r="Y93" s="20" t="n"/>
      <c r="Z93" s="22" t="n"/>
      <c r="AA93" s="22" t="n"/>
      <c r="AB93" s="20" t="n"/>
      <c r="AC93" s="20" t="n"/>
      <c r="AD93" s="22" t="n"/>
      <c r="AE93" s="23" t="n"/>
      <c r="AF93" s="23" t="n"/>
      <c r="AG93" s="23" t="n"/>
      <c r="AH93" s="24" t="n"/>
      <c r="AI93" s="24" t="n"/>
      <c r="AJ93" s="17">
        <f>IF($H93="","",IF($H93&lt;300,"下限未満（対象外）",IF($H93&gt;3000,"上限超（対象外）","範囲内")))</f>
        <v/>
      </c>
      <c r="AK93" s="15">
        <f>IF(OR($E93="",$F93="",$AH93="",$F93&lt;=0),"",($E93-$AH93)/$F93)</f>
        <v/>
      </c>
      <c r="AL93" s="23" t="n"/>
      <c r="AM93" s="20" t="n"/>
      <c r="AN93" s="21">
        <f>COUNTIF($I93:$T93,"◯")*2+COUNTIF($I93:$T93,"△〜◯")*1.5+COUNTIF($I93:$T93,"△")*1+COUNTIF($I93:$T93,"×〜△")*0.5</f>
        <v/>
      </c>
      <c r="AO93" s="17">
        <f>COUNTIF($I93:$T93,"◯")+COUNTIF($I93:$T93,"△〜◯")+COUNTIF($I93:$T93,"△")+COUNTIF($I93:$T93,"×〜△")+COUNTIF($I93:$T93,"×")</f>
        <v/>
      </c>
      <c r="AP93" s="17">
        <f>COUNTIF($I93:$T93,"×")</f>
        <v/>
      </c>
      <c r="AQ93" s="17">
        <f>COUNTIF($I93,"×")+COUNTIF($J93,"×")+COUNTIF($L93,"×")+COUNTIF($O93,"×")</f>
        <v/>
      </c>
    </row>
    <row r="94">
      <c r="A94" s="23" t="n"/>
      <c r="B94" s="23" t="n"/>
      <c r="C94" s="20" t="n"/>
      <c r="D94" s="23" t="n"/>
      <c r="E94" s="24" t="n"/>
      <c r="F94" s="24" t="n"/>
      <c r="G94" s="15">
        <f>IF(OR($E94="",$F94="",$AH94="",$AI94="",$F94&lt;=0),"",($E94-($AH94-$AI94))/$F94)</f>
        <v/>
      </c>
      <c r="H94" s="24" t="n"/>
      <c r="I94" s="25" t="n"/>
      <c r="J94" s="25" t="n"/>
      <c r="K94" s="25" t="n"/>
      <c r="L94" s="25" t="n"/>
      <c r="M94" s="25" t="n"/>
      <c r="N94" s="25" t="n"/>
      <c r="O94" s="25" t="n"/>
      <c r="P94" s="25" t="n"/>
      <c r="Q94" s="25" t="n"/>
      <c r="R94" s="25" t="n"/>
      <c r="S94" s="25" t="n"/>
      <c r="T94" s="25" t="n"/>
      <c r="U94" s="17">
        <f>IF($AO94=0,"",IF($AQ94&gt;0,"C：見送り（Must×）",IF($AP94&gt;=2,"C：見送り（×2件以上）",IF($AO94&lt;6,"B：追加情報を取得",IF(AND($AP94=0,$AN94/($AO94*2)&gt;=0.75),"A：進める","B：追加情報を取得")))))</f>
        <v/>
      </c>
      <c r="V94" s="18">
        <f>IF($AO94=0,"",$AN94/($AO94*2))</f>
        <v/>
      </c>
      <c r="W94" s="17">
        <f>IF($A94="","",COUNTIFS(質問リスト!$A$4:$A$303,$A94,質問リスト!$O$4:$O$303,"&lt;&gt;解決"))</f>
        <v/>
      </c>
      <c r="X94" s="23" t="n"/>
      <c r="Y94" s="20" t="n"/>
      <c r="Z94" s="22" t="n"/>
      <c r="AA94" s="22" t="n"/>
      <c r="AB94" s="20" t="n"/>
      <c r="AC94" s="20" t="n"/>
      <c r="AD94" s="22" t="n"/>
      <c r="AE94" s="23" t="n"/>
      <c r="AF94" s="23" t="n"/>
      <c r="AG94" s="23" t="n"/>
      <c r="AH94" s="24" t="n"/>
      <c r="AI94" s="24" t="n"/>
      <c r="AJ94" s="17">
        <f>IF($H94="","",IF($H94&lt;300,"下限未満（対象外）",IF($H94&gt;3000,"上限超（対象外）","範囲内")))</f>
        <v/>
      </c>
      <c r="AK94" s="15">
        <f>IF(OR($E94="",$F94="",$AH94="",$F94&lt;=0),"",($E94-$AH94)/$F94)</f>
        <v/>
      </c>
      <c r="AL94" s="23" t="n"/>
      <c r="AM94" s="20" t="n"/>
      <c r="AN94" s="21">
        <f>COUNTIF($I94:$T94,"◯")*2+COUNTIF($I94:$T94,"△〜◯")*1.5+COUNTIF($I94:$T94,"△")*1+COUNTIF($I94:$T94,"×〜△")*0.5</f>
        <v/>
      </c>
      <c r="AO94" s="17">
        <f>COUNTIF($I94:$T94,"◯")+COUNTIF($I94:$T94,"△〜◯")+COUNTIF($I94:$T94,"△")+COUNTIF($I94:$T94,"×〜△")+COUNTIF($I94:$T94,"×")</f>
        <v/>
      </c>
      <c r="AP94" s="17">
        <f>COUNTIF($I94:$T94,"×")</f>
        <v/>
      </c>
      <c r="AQ94" s="17">
        <f>COUNTIF($I94,"×")+COUNTIF($J94,"×")+COUNTIF($L94,"×")+COUNTIF($O94,"×")</f>
        <v/>
      </c>
    </row>
    <row r="95">
      <c r="A95" s="23" t="n"/>
      <c r="B95" s="23" t="n"/>
      <c r="C95" s="20" t="n"/>
      <c r="D95" s="23" t="n"/>
      <c r="E95" s="24" t="n"/>
      <c r="F95" s="24" t="n"/>
      <c r="G95" s="15">
        <f>IF(OR($E95="",$F95="",$AH95="",$AI95="",$F95&lt;=0),"",($E95-($AH95-$AI95))/$F95)</f>
        <v/>
      </c>
      <c r="H95" s="24" t="n"/>
      <c r="I95" s="25" t="n"/>
      <c r="J95" s="25" t="n"/>
      <c r="K95" s="25" t="n"/>
      <c r="L95" s="25" t="n"/>
      <c r="M95" s="25" t="n"/>
      <c r="N95" s="25" t="n"/>
      <c r="O95" s="25" t="n"/>
      <c r="P95" s="25" t="n"/>
      <c r="Q95" s="25" t="n"/>
      <c r="R95" s="25" t="n"/>
      <c r="S95" s="25" t="n"/>
      <c r="T95" s="25" t="n"/>
      <c r="U95" s="17">
        <f>IF($AO95=0,"",IF($AQ95&gt;0,"C：見送り（Must×）",IF($AP95&gt;=2,"C：見送り（×2件以上）",IF($AO95&lt;6,"B：追加情報を取得",IF(AND($AP95=0,$AN95/($AO95*2)&gt;=0.75),"A：進める","B：追加情報を取得")))))</f>
        <v/>
      </c>
      <c r="V95" s="18">
        <f>IF($AO95=0,"",$AN95/($AO95*2))</f>
        <v/>
      </c>
      <c r="W95" s="17">
        <f>IF($A95="","",COUNTIFS(質問リスト!$A$4:$A$303,$A95,質問リスト!$O$4:$O$303,"&lt;&gt;解決"))</f>
        <v/>
      </c>
      <c r="X95" s="23" t="n"/>
      <c r="Y95" s="20" t="n"/>
      <c r="Z95" s="22" t="n"/>
      <c r="AA95" s="22" t="n"/>
      <c r="AB95" s="20" t="n"/>
      <c r="AC95" s="20" t="n"/>
      <c r="AD95" s="22" t="n"/>
      <c r="AE95" s="23" t="n"/>
      <c r="AF95" s="23" t="n"/>
      <c r="AG95" s="23" t="n"/>
      <c r="AH95" s="24" t="n"/>
      <c r="AI95" s="24" t="n"/>
      <c r="AJ95" s="17">
        <f>IF($H95="","",IF($H95&lt;300,"下限未満（対象外）",IF($H95&gt;3000,"上限超（対象外）","範囲内")))</f>
        <v/>
      </c>
      <c r="AK95" s="15">
        <f>IF(OR($E95="",$F95="",$AH95="",$F95&lt;=0),"",($E95-$AH95)/$F95)</f>
        <v/>
      </c>
      <c r="AL95" s="23" t="n"/>
      <c r="AM95" s="20" t="n"/>
      <c r="AN95" s="21">
        <f>COUNTIF($I95:$T95,"◯")*2+COUNTIF($I95:$T95,"△〜◯")*1.5+COUNTIF($I95:$T95,"△")*1+COUNTIF($I95:$T95,"×〜△")*0.5</f>
        <v/>
      </c>
      <c r="AO95" s="17">
        <f>COUNTIF($I95:$T95,"◯")+COUNTIF($I95:$T95,"△〜◯")+COUNTIF($I95:$T95,"△")+COUNTIF($I95:$T95,"×〜△")+COUNTIF($I95:$T95,"×")</f>
        <v/>
      </c>
      <c r="AP95" s="17">
        <f>COUNTIF($I95:$T95,"×")</f>
        <v/>
      </c>
      <c r="AQ95" s="17">
        <f>COUNTIF($I95,"×")+COUNTIF($J95,"×")+COUNTIF($L95,"×")+COUNTIF($O95,"×")</f>
        <v/>
      </c>
    </row>
    <row r="96">
      <c r="A96" s="23" t="n"/>
      <c r="B96" s="23" t="n"/>
      <c r="C96" s="20" t="n"/>
      <c r="D96" s="23" t="n"/>
      <c r="E96" s="24" t="n"/>
      <c r="F96" s="24" t="n"/>
      <c r="G96" s="15">
        <f>IF(OR($E96="",$F96="",$AH96="",$AI96="",$F96&lt;=0),"",($E96-($AH96-$AI96))/$F96)</f>
        <v/>
      </c>
      <c r="H96" s="24" t="n"/>
      <c r="I96" s="25" t="n"/>
      <c r="J96" s="25" t="n"/>
      <c r="K96" s="25" t="n"/>
      <c r="L96" s="25" t="n"/>
      <c r="M96" s="25" t="n"/>
      <c r="N96" s="25" t="n"/>
      <c r="O96" s="25" t="n"/>
      <c r="P96" s="25" t="n"/>
      <c r="Q96" s="25" t="n"/>
      <c r="R96" s="25" t="n"/>
      <c r="S96" s="25" t="n"/>
      <c r="T96" s="25" t="n"/>
      <c r="U96" s="17">
        <f>IF($AO96=0,"",IF($AQ96&gt;0,"C：見送り（Must×）",IF($AP96&gt;=2,"C：見送り（×2件以上）",IF($AO96&lt;6,"B：追加情報を取得",IF(AND($AP96=0,$AN96/($AO96*2)&gt;=0.75),"A：進める","B：追加情報を取得")))))</f>
        <v/>
      </c>
      <c r="V96" s="18">
        <f>IF($AO96=0,"",$AN96/($AO96*2))</f>
        <v/>
      </c>
      <c r="W96" s="17">
        <f>IF($A96="","",COUNTIFS(質問リスト!$A$4:$A$303,$A96,質問リスト!$O$4:$O$303,"&lt;&gt;解決"))</f>
        <v/>
      </c>
      <c r="X96" s="23" t="n"/>
      <c r="Y96" s="20" t="n"/>
      <c r="Z96" s="22" t="n"/>
      <c r="AA96" s="22" t="n"/>
      <c r="AB96" s="20" t="n"/>
      <c r="AC96" s="20" t="n"/>
      <c r="AD96" s="22" t="n"/>
      <c r="AE96" s="23" t="n"/>
      <c r="AF96" s="23" t="n"/>
      <c r="AG96" s="23" t="n"/>
      <c r="AH96" s="24" t="n"/>
      <c r="AI96" s="24" t="n"/>
      <c r="AJ96" s="17">
        <f>IF($H96="","",IF($H96&lt;300,"下限未満（対象外）",IF($H96&gt;3000,"上限超（対象外）","範囲内")))</f>
        <v/>
      </c>
      <c r="AK96" s="15">
        <f>IF(OR($E96="",$F96="",$AH96="",$F96&lt;=0),"",($E96-$AH96)/$F96)</f>
        <v/>
      </c>
      <c r="AL96" s="23" t="n"/>
      <c r="AM96" s="20" t="n"/>
      <c r="AN96" s="21">
        <f>COUNTIF($I96:$T96,"◯")*2+COUNTIF($I96:$T96,"△〜◯")*1.5+COUNTIF($I96:$T96,"△")*1+COUNTIF($I96:$T96,"×〜△")*0.5</f>
        <v/>
      </c>
      <c r="AO96" s="17">
        <f>COUNTIF($I96:$T96,"◯")+COUNTIF($I96:$T96,"△〜◯")+COUNTIF($I96:$T96,"△")+COUNTIF($I96:$T96,"×〜△")+COUNTIF($I96:$T96,"×")</f>
        <v/>
      </c>
      <c r="AP96" s="17">
        <f>COUNTIF($I96:$T96,"×")</f>
        <v/>
      </c>
      <c r="AQ96" s="17">
        <f>COUNTIF($I96,"×")+COUNTIF($J96,"×")+COUNTIF($L96,"×")+COUNTIF($O96,"×")</f>
        <v/>
      </c>
    </row>
    <row r="97">
      <c r="A97" s="23" t="n"/>
      <c r="B97" s="23" t="n"/>
      <c r="C97" s="20" t="n"/>
      <c r="D97" s="23" t="n"/>
      <c r="E97" s="24" t="n"/>
      <c r="F97" s="24" t="n"/>
      <c r="G97" s="15">
        <f>IF(OR($E97="",$F97="",$AH97="",$AI97="",$F97&lt;=0),"",($E97-($AH97-$AI97))/$F97)</f>
        <v/>
      </c>
      <c r="H97" s="24" t="n"/>
      <c r="I97" s="25" t="n"/>
      <c r="J97" s="25" t="n"/>
      <c r="K97" s="25" t="n"/>
      <c r="L97" s="25" t="n"/>
      <c r="M97" s="25" t="n"/>
      <c r="N97" s="25" t="n"/>
      <c r="O97" s="25" t="n"/>
      <c r="P97" s="25" t="n"/>
      <c r="Q97" s="25" t="n"/>
      <c r="R97" s="25" t="n"/>
      <c r="S97" s="25" t="n"/>
      <c r="T97" s="25" t="n"/>
      <c r="U97" s="17">
        <f>IF($AO97=0,"",IF($AQ97&gt;0,"C：見送り（Must×）",IF($AP97&gt;=2,"C：見送り（×2件以上）",IF($AO97&lt;6,"B：追加情報を取得",IF(AND($AP97=0,$AN97/($AO97*2)&gt;=0.75),"A：進める","B：追加情報を取得")))))</f>
        <v/>
      </c>
      <c r="V97" s="18">
        <f>IF($AO97=0,"",$AN97/($AO97*2))</f>
        <v/>
      </c>
      <c r="W97" s="17">
        <f>IF($A97="","",COUNTIFS(質問リスト!$A$4:$A$303,$A97,質問リスト!$O$4:$O$303,"&lt;&gt;解決"))</f>
        <v/>
      </c>
      <c r="X97" s="23" t="n"/>
      <c r="Y97" s="20" t="n"/>
      <c r="Z97" s="22" t="n"/>
      <c r="AA97" s="22" t="n"/>
      <c r="AB97" s="20" t="n"/>
      <c r="AC97" s="20" t="n"/>
      <c r="AD97" s="22" t="n"/>
      <c r="AE97" s="23" t="n"/>
      <c r="AF97" s="23" t="n"/>
      <c r="AG97" s="23" t="n"/>
      <c r="AH97" s="24" t="n"/>
      <c r="AI97" s="24" t="n"/>
      <c r="AJ97" s="17">
        <f>IF($H97="","",IF($H97&lt;300,"下限未満（対象外）",IF($H97&gt;3000,"上限超（対象外）","範囲内")))</f>
        <v/>
      </c>
      <c r="AK97" s="15">
        <f>IF(OR($E97="",$F97="",$AH97="",$F97&lt;=0),"",($E97-$AH97)/$F97)</f>
        <v/>
      </c>
      <c r="AL97" s="23" t="n"/>
      <c r="AM97" s="20" t="n"/>
      <c r="AN97" s="21">
        <f>COUNTIF($I97:$T97,"◯")*2+COUNTIF($I97:$T97,"△〜◯")*1.5+COUNTIF($I97:$T97,"△")*1+COUNTIF($I97:$T97,"×〜△")*0.5</f>
        <v/>
      </c>
      <c r="AO97" s="17">
        <f>COUNTIF($I97:$T97,"◯")+COUNTIF($I97:$T97,"△〜◯")+COUNTIF($I97:$T97,"△")+COUNTIF($I97:$T97,"×〜△")+COUNTIF($I97:$T97,"×")</f>
        <v/>
      </c>
      <c r="AP97" s="17">
        <f>COUNTIF($I97:$T97,"×")</f>
        <v/>
      </c>
      <c r="AQ97" s="17">
        <f>COUNTIF($I97,"×")+COUNTIF($J97,"×")+COUNTIF($L97,"×")+COUNTIF($O97,"×")</f>
        <v/>
      </c>
    </row>
    <row r="98">
      <c r="A98" s="23" t="n"/>
      <c r="B98" s="23" t="n"/>
      <c r="C98" s="20" t="n"/>
      <c r="D98" s="23" t="n"/>
      <c r="E98" s="24" t="n"/>
      <c r="F98" s="24" t="n"/>
      <c r="G98" s="15">
        <f>IF(OR($E98="",$F98="",$AH98="",$AI98="",$F98&lt;=0),"",($E98-($AH98-$AI98))/$F98)</f>
        <v/>
      </c>
      <c r="H98" s="24" t="n"/>
      <c r="I98" s="25" t="n"/>
      <c r="J98" s="25" t="n"/>
      <c r="K98" s="25" t="n"/>
      <c r="L98" s="25" t="n"/>
      <c r="M98" s="25" t="n"/>
      <c r="N98" s="25" t="n"/>
      <c r="O98" s="25" t="n"/>
      <c r="P98" s="25" t="n"/>
      <c r="Q98" s="25" t="n"/>
      <c r="R98" s="25" t="n"/>
      <c r="S98" s="25" t="n"/>
      <c r="T98" s="25" t="n"/>
      <c r="U98" s="17">
        <f>IF($AO98=0,"",IF($AQ98&gt;0,"C：見送り（Must×）",IF($AP98&gt;=2,"C：見送り（×2件以上）",IF($AO98&lt;6,"B：追加情報を取得",IF(AND($AP98=0,$AN98/($AO98*2)&gt;=0.75),"A：進める","B：追加情報を取得")))))</f>
        <v/>
      </c>
      <c r="V98" s="18">
        <f>IF($AO98=0,"",$AN98/($AO98*2))</f>
        <v/>
      </c>
      <c r="W98" s="17">
        <f>IF($A98="","",COUNTIFS(質問リスト!$A$4:$A$303,$A98,質問リスト!$O$4:$O$303,"&lt;&gt;解決"))</f>
        <v/>
      </c>
      <c r="X98" s="23" t="n"/>
      <c r="Y98" s="20" t="n"/>
      <c r="Z98" s="22" t="n"/>
      <c r="AA98" s="22" t="n"/>
      <c r="AB98" s="20" t="n"/>
      <c r="AC98" s="20" t="n"/>
      <c r="AD98" s="22" t="n"/>
      <c r="AE98" s="23" t="n"/>
      <c r="AF98" s="23" t="n"/>
      <c r="AG98" s="23" t="n"/>
      <c r="AH98" s="24" t="n"/>
      <c r="AI98" s="24" t="n"/>
      <c r="AJ98" s="17">
        <f>IF($H98="","",IF($H98&lt;300,"下限未満（対象外）",IF($H98&gt;3000,"上限超（対象外）","範囲内")))</f>
        <v/>
      </c>
      <c r="AK98" s="15">
        <f>IF(OR($E98="",$F98="",$AH98="",$F98&lt;=0),"",($E98-$AH98)/$F98)</f>
        <v/>
      </c>
      <c r="AL98" s="23" t="n"/>
      <c r="AM98" s="20" t="n"/>
      <c r="AN98" s="21">
        <f>COUNTIF($I98:$T98,"◯")*2+COUNTIF($I98:$T98,"△〜◯")*1.5+COUNTIF($I98:$T98,"△")*1+COUNTIF($I98:$T98,"×〜△")*0.5</f>
        <v/>
      </c>
      <c r="AO98" s="17">
        <f>COUNTIF($I98:$T98,"◯")+COUNTIF($I98:$T98,"△〜◯")+COUNTIF($I98:$T98,"△")+COUNTIF($I98:$T98,"×〜△")+COUNTIF($I98:$T98,"×")</f>
        <v/>
      </c>
      <c r="AP98" s="17">
        <f>COUNTIF($I98:$T98,"×")</f>
        <v/>
      </c>
      <c r="AQ98" s="17">
        <f>COUNTIF($I98,"×")+COUNTIF($J98,"×")+COUNTIF($L98,"×")+COUNTIF($O98,"×")</f>
        <v/>
      </c>
    </row>
    <row r="99">
      <c r="A99" s="23" t="n"/>
      <c r="B99" s="23" t="n"/>
      <c r="C99" s="20" t="n"/>
      <c r="D99" s="23" t="n"/>
      <c r="E99" s="24" t="n"/>
      <c r="F99" s="24" t="n"/>
      <c r="G99" s="15">
        <f>IF(OR($E99="",$F99="",$AH99="",$AI99="",$F99&lt;=0),"",($E99-($AH99-$AI99))/$F99)</f>
        <v/>
      </c>
      <c r="H99" s="24" t="n"/>
      <c r="I99" s="25" t="n"/>
      <c r="J99" s="25" t="n"/>
      <c r="K99" s="25" t="n"/>
      <c r="L99" s="25" t="n"/>
      <c r="M99" s="25" t="n"/>
      <c r="N99" s="25" t="n"/>
      <c r="O99" s="25" t="n"/>
      <c r="P99" s="25" t="n"/>
      <c r="Q99" s="25" t="n"/>
      <c r="R99" s="25" t="n"/>
      <c r="S99" s="25" t="n"/>
      <c r="T99" s="25" t="n"/>
      <c r="U99" s="17">
        <f>IF($AO99=0,"",IF($AQ99&gt;0,"C：見送り（Must×）",IF($AP99&gt;=2,"C：見送り（×2件以上）",IF($AO99&lt;6,"B：追加情報を取得",IF(AND($AP99=0,$AN99/($AO99*2)&gt;=0.75),"A：進める","B：追加情報を取得")))))</f>
        <v/>
      </c>
      <c r="V99" s="18">
        <f>IF($AO99=0,"",$AN99/($AO99*2))</f>
        <v/>
      </c>
      <c r="W99" s="17">
        <f>IF($A99="","",COUNTIFS(質問リスト!$A$4:$A$303,$A99,質問リスト!$O$4:$O$303,"&lt;&gt;解決"))</f>
        <v/>
      </c>
      <c r="X99" s="23" t="n"/>
      <c r="Y99" s="20" t="n"/>
      <c r="Z99" s="22" t="n"/>
      <c r="AA99" s="22" t="n"/>
      <c r="AB99" s="20" t="n"/>
      <c r="AC99" s="20" t="n"/>
      <c r="AD99" s="22" t="n"/>
      <c r="AE99" s="23" t="n"/>
      <c r="AF99" s="23" t="n"/>
      <c r="AG99" s="23" t="n"/>
      <c r="AH99" s="24" t="n"/>
      <c r="AI99" s="24" t="n"/>
      <c r="AJ99" s="17">
        <f>IF($H99="","",IF($H99&lt;300,"下限未満（対象外）",IF($H99&gt;3000,"上限超（対象外）","範囲内")))</f>
        <v/>
      </c>
      <c r="AK99" s="15">
        <f>IF(OR($E99="",$F99="",$AH99="",$F99&lt;=0),"",($E99-$AH99)/$F99)</f>
        <v/>
      </c>
      <c r="AL99" s="23" t="n"/>
      <c r="AM99" s="20" t="n"/>
      <c r="AN99" s="21">
        <f>COUNTIF($I99:$T99,"◯")*2+COUNTIF($I99:$T99,"△〜◯")*1.5+COUNTIF($I99:$T99,"△")*1+COUNTIF($I99:$T99,"×〜△")*0.5</f>
        <v/>
      </c>
      <c r="AO99" s="17">
        <f>COUNTIF($I99:$T99,"◯")+COUNTIF($I99:$T99,"△〜◯")+COUNTIF($I99:$T99,"△")+COUNTIF($I99:$T99,"×〜△")+COUNTIF($I99:$T99,"×")</f>
        <v/>
      </c>
      <c r="AP99" s="17">
        <f>COUNTIF($I99:$T99,"×")</f>
        <v/>
      </c>
      <c r="AQ99" s="17">
        <f>COUNTIF($I99,"×")+COUNTIF($J99,"×")+COUNTIF($L99,"×")+COUNTIF($O99,"×")</f>
        <v/>
      </c>
    </row>
    <row r="100">
      <c r="A100" s="23" t="n"/>
      <c r="B100" s="23" t="n"/>
      <c r="C100" s="20" t="n"/>
      <c r="D100" s="23" t="n"/>
      <c r="E100" s="24" t="n"/>
      <c r="F100" s="24" t="n"/>
      <c r="G100" s="15">
        <f>IF(OR($E100="",$F100="",$AH100="",$AI100="",$F100&lt;=0),"",($E100-($AH100-$AI100))/$F100)</f>
        <v/>
      </c>
      <c r="H100" s="24" t="n"/>
      <c r="I100" s="25" t="n"/>
      <c r="J100" s="25" t="n"/>
      <c r="K100" s="25" t="n"/>
      <c r="L100" s="25" t="n"/>
      <c r="M100" s="25" t="n"/>
      <c r="N100" s="25" t="n"/>
      <c r="O100" s="25" t="n"/>
      <c r="P100" s="25" t="n"/>
      <c r="Q100" s="25" t="n"/>
      <c r="R100" s="25" t="n"/>
      <c r="S100" s="25" t="n"/>
      <c r="T100" s="25" t="n"/>
      <c r="U100" s="17">
        <f>IF($AO100=0,"",IF($AQ100&gt;0,"C：見送り（Must×）",IF($AP100&gt;=2,"C：見送り（×2件以上）",IF($AO100&lt;6,"B：追加情報を取得",IF(AND($AP100=0,$AN100/($AO100*2)&gt;=0.75),"A：進める","B：追加情報を取得")))))</f>
        <v/>
      </c>
      <c r="V100" s="18">
        <f>IF($AO100=0,"",$AN100/($AO100*2))</f>
        <v/>
      </c>
      <c r="W100" s="17">
        <f>IF($A100="","",COUNTIFS(質問リスト!$A$4:$A$303,$A100,質問リスト!$O$4:$O$303,"&lt;&gt;解決"))</f>
        <v/>
      </c>
      <c r="X100" s="23" t="n"/>
      <c r="Y100" s="20" t="n"/>
      <c r="Z100" s="22" t="n"/>
      <c r="AA100" s="22" t="n"/>
      <c r="AB100" s="20" t="n"/>
      <c r="AC100" s="20" t="n"/>
      <c r="AD100" s="22" t="n"/>
      <c r="AE100" s="23" t="n"/>
      <c r="AF100" s="23" t="n"/>
      <c r="AG100" s="23" t="n"/>
      <c r="AH100" s="24" t="n"/>
      <c r="AI100" s="24" t="n"/>
      <c r="AJ100" s="17">
        <f>IF($H100="","",IF($H100&lt;300,"下限未満（対象外）",IF($H100&gt;3000,"上限超（対象外）","範囲内")))</f>
        <v/>
      </c>
      <c r="AK100" s="15">
        <f>IF(OR($E100="",$F100="",$AH100="",$F100&lt;=0),"",($E100-$AH100)/$F100)</f>
        <v/>
      </c>
      <c r="AL100" s="23" t="n"/>
      <c r="AM100" s="20" t="n"/>
      <c r="AN100" s="21">
        <f>COUNTIF($I100:$T100,"◯")*2+COUNTIF($I100:$T100,"△〜◯")*1.5+COUNTIF($I100:$T100,"△")*1+COUNTIF($I100:$T100,"×〜△")*0.5</f>
        <v/>
      </c>
      <c r="AO100" s="17">
        <f>COUNTIF($I100:$T100,"◯")+COUNTIF($I100:$T100,"△〜◯")+COUNTIF($I100:$T100,"△")+COUNTIF($I100:$T100,"×〜△")+COUNTIF($I100:$T100,"×")</f>
        <v/>
      </c>
      <c r="AP100" s="17">
        <f>COUNTIF($I100:$T100,"×")</f>
        <v/>
      </c>
      <c r="AQ100" s="17">
        <f>COUNTIF($I100,"×")+COUNTIF($J100,"×")+COUNTIF($L100,"×")+COUNTIF($O100,"×")</f>
        <v/>
      </c>
    </row>
    <row r="101">
      <c r="A101" s="23" t="n"/>
      <c r="B101" s="23" t="n"/>
      <c r="C101" s="20" t="n"/>
      <c r="D101" s="23" t="n"/>
      <c r="E101" s="24" t="n"/>
      <c r="F101" s="24" t="n"/>
      <c r="G101" s="15">
        <f>IF(OR($E101="",$F101="",$AH101="",$AI101="",$F101&lt;=0),"",($E101-($AH101-$AI101))/$F101)</f>
        <v/>
      </c>
      <c r="H101" s="24" t="n"/>
      <c r="I101" s="25" t="n"/>
      <c r="J101" s="25" t="n"/>
      <c r="K101" s="25" t="n"/>
      <c r="L101" s="25" t="n"/>
      <c r="M101" s="25" t="n"/>
      <c r="N101" s="25" t="n"/>
      <c r="O101" s="25" t="n"/>
      <c r="P101" s="25" t="n"/>
      <c r="Q101" s="25" t="n"/>
      <c r="R101" s="25" t="n"/>
      <c r="S101" s="25" t="n"/>
      <c r="T101" s="25" t="n"/>
      <c r="U101" s="17">
        <f>IF($AO101=0,"",IF($AQ101&gt;0,"C：見送り（Must×）",IF($AP101&gt;=2,"C：見送り（×2件以上）",IF($AO101&lt;6,"B：追加情報を取得",IF(AND($AP101=0,$AN101/($AO101*2)&gt;=0.75),"A：進める","B：追加情報を取得")))))</f>
        <v/>
      </c>
      <c r="V101" s="18">
        <f>IF($AO101=0,"",$AN101/($AO101*2))</f>
        <v/>
      </c>
      <c r="W101" s="17">
        <f>IF($A101="","",COUNTIFS(質問リスト!$A$4:$A$303,$A101,質問リスト!$O$4:$O$303,"&lt;&gt;解決"))</f>
        <v/>
      </c>
      <c r="X101" s="23" t="n"/>
      <c r="Y101" s="20" t="n"/>
      <c r="Z101" s="22" t="n"/>
      <c r="AA101" s="22" t="n"/>
      <c r="AB101" s="20" t="n"/>
      <c r="AC101" s="20" t="n"/>
      <c r="AD101" s="22" t="n"/>
      <c r="AE101" s="23" t="n"/>
      <c r="AF101" s="23" t="n"/>
      <c r="AG101" s="23" t="n"/>
      <c r="AH101" s="24" t="n"/>
      <c r="AI101" s="24" t="n"/>
      <c r="AJ101" s="17">
        <f>IF($H101="","",IF($H101&lt;300,"下限未満（対象外）",IF($H101&gt;3000,"上限超（対象外）","範囲内")))</f>
        <v/>
      </c>
      <c r="AK101" s="15">
        <f>IF(OR($E101="",$F101="",$AH101="",$F101&lt;=0),"",($E101-$AH101)/$F101)</f>
        <v/>
      </c>
      <c r="AL101" s="23" t="n"/>
      <c r="AM101" s="20" t="n"/>
      <c r="AN101" s="21">
        <f>COUNTIF($I101:$T101,"◯")*2+COUNTIF($I101:$T101,"△〜◯")*1.5+COUNTIF($I101:$T101,"△")*1+COUNTIF($I101:$T101,"×〜△")*0.5</f>
        <v/>
      </c>
      <c r="AO101" s="17">
        <f>COUNTIF($I101:$T101,"◯")+COUNTIF($I101:$T101,"△〜◯")+COUNTIF($I101:$T101,"△")+COUNTIF($I101:$T101,"×〜△")+COUNTIF($I101:$T101,"×")</f>
        <v/>
      </c>
      <c r="AP101" s="17">
        <f>COUNTIF($I101:$T101,"×")</f>
        <v/>
      </c>
      <c r="AQ101" s="17">
        <f>COUNTIF($I101,"×")+COUNTIF($J101,"×")+COUNTIF($L101,"×")+COUNTIF($O101,"×")</f>
        <v/>
      </c>
    </row>
    <row r="102">
      <c r="A102" s="23" t="n"/>
      <c r="B102" s="23" t="n"/>
      <c r="C102" s="20" t="n"/>
      <c r="D102" s="23" t="n"/>
      <c r="E102" s="24" t="n"/>
      <c r="F102" s="24" t="n"/>
      <c r="G102" s="15">
        <f>IF(OR($E102="",$F102="",$AH102="",$AI102="",$F102&lt;=0),"",($E102-($AH102-$AI102))/$F102)</f>
        <v/>
      </c>
      <c r="H102" s="24" t="n"/>
      <c r="I102" s="25" t="n"/>
      <c r="J102" s="25" t="n"/>
      <c r="K102" s="25" t="n"/>
      <c r="L102" s="25" t="n"/>
      <c r="M102" s="25" t="n"/>
      <c r="N102" s="25" t="n"/>
      <c r="O102" s="25" t="n"/>
      <c r="P102" s="25" t="n"/>
      <c r="Q102" s="25" t="n"/>
      <c r="R102" s="25" t="n"/>
      <c r="S102" s="25" t="n"/>
      <c r="T102" s="25" t="n"/>
      <c r="U102" s="17">
        <f>IF($AO102=0,"",IF($AQ102&gt;0,"C：見送り（Must×）",IF($AP102&gt;=2,"C：見送り（×2件以上）",IF($AO102&lt;6,"B：追加情報を取得",IF(AND($AP102=0,$AN102/($AO102*2)&gt;=0.75),"A：進める","B：追加情報を取得")))))</f>
        <v/>
      </c>
      <c r="V102" s="18">
        <f>IF($AO102=0,"",$AN102/($AO102*2))</f>
        <v/>
      </c>
      <c r="W102" s="17">
        <f>IF($A102="","",COUNTIFS(質問リスト!$A$4:$A$303,$A102,質問リスト!$O$4:$O$303,"&lt;&gt;解決"))</f>
        <v/>
      </c>
      <c r="X102" s="23" t="n"/>
      <c r="Y102" s="20" t="n"/>
      <c r="Z102" s="22" t="n"/>
      <c r="AA102" s="22" t="n"/>
      <c r="AB102" s="20" t="n"/>
      <c r="AC102" s="20" t="n"/>
      <c r="AD102" s="22" t="n"/>
      <c r="AE102" s="23" t="n"/>
      <c r="AF102" s="23" t="n"/>
      <c r="AG102" s="23" t="n"/>
      <c r="AH102" s="24" t="n"/>
      <c r="AI102" s="24" t="n"/>
      <c r="AJ102" s="17">
        <f>IF($H102="","",IF($H102&lt;300,"下限未満（対象外）",IF($H102&gt;3000,"上限超（対象外）","範囲内")))</f>
        <v/>
      </c>
      <c r="AK102" s="15">
        <f>IF(OR($E102="",$F102="",$AH102="",$F102&lt;=0),"",($E102-$AH102)/$F102)</f>
        <v/>
      </c>
      <c r="AL102" s="23" t="n"/>
      <c r="AM102" s="20" t="n"/>
      <c r="AN102" s="21">
        <f>COUNTIF($I102:$T102,"◯")*2+COUNTIF($I102:$T102,"△〜◯")*1.5+COUNTIF($I102:$T102,"△")*1+COUNTIF($I102:$T102,"×〜△")*0.5</f>
        <v/>
      </c>
      <c r="AO102" s="17">
        <f>COUNTIF($I102:$T102,"◯")+COUNTIF($I102:$T102,"△〜◯")+COUNTIF($I102:$T102,"△")+COUNTIF($I102:$T102,"×〜△")+COUNTIF($I102:$T102,"×")</f>
        <v/>
      </c>
      <c r="AP102" s="17">
        <f>COUNTIF($I102:$T102,"×")</f>
        <v/>
      </c>
      <c r="AQ102" s="17">
        <f>COUNTIF($I102,"×")+COUNTIF($J102,"×")+COUNTIF($L102,"×")+COUNTIF($O102,"×")</f>
        <v/>
      </c>
    </row>
    <row r="103">
      <c r="A103" s="23" t="n"/>
      <c r="B103" s="23" t="n"/>
      <c r="C103" s="20" t="n"/>
      <c r="D103" s="23" t="n"/>
      <c r="E103" s="24" t="n"/>
      <c r="F103" s="24" t="n"/>
      <c r="G103" s="15">
        <f>IF(OR($E103="",$F103="",$AH103="",$AI103="",$F103&lt;=0),"",($E103-($AH103-$AI103))/$F103)</f>
        <v/>
      </c>
      <c r="H103" s="24" t="n"/>
      <c r="I103" s="25" t="n"/>
      <c r="J103" s="25" t="n"/>
      <c r="K103" s="25" t="n"/>
      <c r="L103" s="25" t="n"/>
      <c r="M103" s="25" t="n"/>
      <c r="N103" s="25" t="n"/>
      <c r="O103" s="25" t="n"/>
      <c r="P103" s="25" t="n"/>
      <c r="Q103" s="25" t="n"/>
      <c r="R103" s="25" t="n"/>
      <c r="S103" s="25" t="n"/>
      <c r="T103" s="25" t="n"/>
      <c r="U103" s="17">
        <f>IF($AO103=0,"",IF($AQ103&gt;0,"C：見送り（Must×）",IF($AP103&gt;=2,"C：見送り（×2件以上）",IF($AO103&lt;6,"B：追加情報を取得",IF(AND($AP103=0,$AN103/($AO103*2)&gt;=0.75),"A：進める","B：追加情報を取得")))))</f>
        <v/>
      </c>
      <c r="V103" s="18">
        <f>IF($AO103=0,"",$AN103/($AO103*2))</f>
        <v/>
      </c>
      <c r="W103" s="17">
        <f>IF($A103="","",COUNTIFS(質問リスト!$A$4:$A$303,$A103,質問リスト!$O$4:$O$303,"&lt;&gt;解決"))</f>
        <v/>
      </c>
      <c r="X103" s="23" t="n"/>
      <c r="Y103" s="20" t="n"/>
      <c r="Z103" s="22" t="n"/>
      <c r="AA103" s="22" t="n"/>
      <c r="AB103" s="20" t="n"/>
      <c r="AC103" s="20" t="n"/>
      <c r="AD103" s="22" t="n"/>
      <c r="AE103" s="23" t="n"/>
      <c r="AF103" s="23" t="n"/>
      <c r="AG103" s="23" t="n"/>
      <c r="AH103" s="24" t="n"/>
      <c r="AI103" s="24" t="n"/>
      <c r="AJ103" s="17">
        <f>IF($H103="","",IF($H103&lt;300,"下限未満（対象外）",IF($H103&gt;3000,"上限超（対象外）","範囲内")))</f>
        <v/>
      </c>
      <c r="AK103" s="15">
        <f>IF(OR($E103="",$F103="",$AH103="",$F103&lt;=0),"",($E103-$AH103)/$F103)</f>
        <v/>
      </c>
      <c r="AL103" s="23" t="n"/>
      <c r="AM103" s="20" t="n"/>
      <c r="AN103" s="21">
        <f>COUNTIF($I103:$T103,"◯")*2+COUNTIF($I103:$T103,"△〜◯")*1.5+COUNTIF($I103:$T103,"△")*1+COUNTIF($I103:$T103,"×〜△")*0.5</f>
        <v/>
      </c>
      <c r="AO103" s="17">
        <f>COUNTIF($I103:$T103,"◯")+COUNTIF($I103:$T103,"△〜◯")+COUNTIF($I103:$T103,"△")+COUNTIF($I103:$T103,"×〜△")+COUNTIF($I103:$T103,"×")</f>
        <v/>
      </c>
      <c r="AP103" s="17">
        <f>COUNTIF($I103:$T103,"×")</f>
        <v/>
      </c>
      <c r="AQ103" s="17">
        <f>COUNTIF($I103,"×")+COUNTIF($J103,"×")+COUNTIF($L103,"×")+COUNTIF($O103,"×")</f>
        <v/>
      </c>
    </row>
    <row r="104">
      <c r="A104" s="23" t="n"/>
      <c r="B104" s="23" t="n"/>
      <c r="C104" s="20" t="n"/>
      <c r="D104" s="23" t="n"/>
      <c r="E104" s="24" t="n"/>
      <c r="F104" s="24" t="n"/>
      <c r="G104" s="15">
        <f>IF(OR($E104="",$F104="",$AH104="",$AI104="",$F104&lt;=0),"",($E104-($AH104-$AI104))/$F104)</f>
        <v/>
      </c>
      <c r="H104" s="24" t="n"/>
      <c r="I104" s="25" t="n"/>
      <c r="J104" s="25" t="n"/>
      <c r="K104" s="25" t="n"/>
      <c r="L104" s="25" t="n"/>
      <c r="M104" s="25" t="n"/>
      <c r="N104" s="25" t="n"/>
      <c r="O104" s="25" t="n"/>
      <c r="P104" s="25" t="n"/>
      <c r="Q104" s="25" t="n"/>
      <c r="R104" s="25" t="n"/>
      <c r="S104" s="25" t="n"/>
      <c r="T104" s="25" t="n"/>
      <c r="U104" s="17">
        <f>IF($AO104=0,"",IF($AQ104&gt;0,"C：見送り（Must×）",IF($AP104&gt;=2,"C：見送り（×2件以上）",IF($AO104&lt;6,"B：追加情報を取得",IF(AND($AP104=0,$AN104/($AO104*2)&gt;=0.75),"A：進める","B：追加情報を取得")))))</f>
        <v/>
      </c>
      <c r="V104" s="18">
        <f>IF($AO104=0,"",$AN104/($AO104*2))</f>
        <v/>
      </c>
      <c r="W104" s="17">
        <f>IF($A104="","",COUNTIFS(質問リスト!$A$4:$A$303,$A104,質問リスト!$O$4:$O$303,"&lt;&gt;解決"))</f>
        <v/>
      </c>
      <c r="X104" s="23" t="n"/>
      <c r="Y104" s="20" t="n"/>
      <c r="Z104" s="22" t="n"/>
      <c r="AA104" s="22" t="n"/>
      <c r="AB104" s="20" t="n"/>
      <c r="AC104" s="20" t="n"/>
      <c r="AD104" s="22" t="n"/>
      <c r="AE104" s="23" t="n"/>
      <c r="AF104" s="23" t="n"/>
      <c r="AG104" s="23" t="n"/>
      <c r="AH104" s="24" t="n"/>
      <c r="AI104" s="24" t="n"/>
      <c r="AJ104" s="17">
        <f>IF($H104="","",IF($H104&lt;300,"下限未満（対象外）",IF($H104&gt;3000,"上限超（対象外）","範囲内")))</f>
        <v/>
      </c>
      <c r="AK104" s="15">
        <f>IF(OR($E104="",$F104="",$AH104="",$F104&lt;=0),"",($E104-$AH104)/$F104)</f>
        <v/>
      </c>
      <c r="AL104" s="23" t="n"/>
      <c r="AM104" s="20" t="n"/>
      <c r="AN104" s="21">
        <f>COUNTIF($I104:$T104,"◯")*2+COUNTIF($I104:$T104,"△〜◯")*1.5+COUNTIF($I104:$T104,"△")*1+COUNTIF($I104:$T104,"×〜△")*0.5</f>
        <v/>
      </c>
      <c r="AO104" s="17">
        <f>COUNTIF($I104:$T104,"◯")+COUNTIF($I104:$T104,"△〜◯")+COUNTIF($I104:$T104,"△")+COUNTIF($I104:$T104,"×〜△")+COUNTIF($I104:$T104,"×")</f>
        <v/>
      </c>
      <c r="AP104" s="17">
        <f>COUNTIF($I104:$T104,"×")</f>
        <v/>
      </c>
      <c r="AQ104" s="17">
        <f>COUNTIF($I104,"×")+COUNTIF($J104,"×")+COUNTIF($L104,"×")+COUNTIF($O104,"×")</f>
        <v/>
      </c>
    </row>
  </sheetData>
  <autoFilter ref="A4:AQ104"/>
  <mergeCells count="7">
    <mergeCell ref="U3:W3"/>
    <mergeCell ref="E3:H3"/>
    <mergeCell ref="AD3:AM3"/>
    <mergeCell ref="X3:AC3"/>
    <mergeCell ref="C3:D3"/>
    <mergeCell ref="A3:B3"/>
    <mergeCell ref="I3:T3"/>
  </mergeCells>
  <conditionalFormatting sqref="I5:T104">
    <cfRule type="expression" priority="1" dxfId="0">
      <formula>EXACT(I5,"◯")</formula>
    </cfRule>
    <cfRule type="expression" priority="2" dxfId="1">
      <formula>EXACT(I5,"△〜◯")</formula>
    </cfRule>
    <cfRule type="expression" priority="3" dxfId="2">
      <formula>EXACT(I5,"△")</formula>
    </cfRule>
    <cfRule type="expression" priority="4" dxfId="3">
      <formula>EXACT(I5,"×〜△")</formula>
    </cfRule>
    <cfRule type="expression" priority="5" dxfId="4">
      <formula>EXACT(I5,"×")</formula>
    </cfRule>
    <cfRule type="expression" priority="6" dxfId="5">
      <formula>EXACT(I5,"－")</formula>
    </cfRule>
  </conditionalFormatting>
  <conditionalFormatting sqref="U5:U104">
    <cfRule type="expression" priority="7" dxfId="0">
      <formula>LEFT(U5,2)="A："</formula>
    </cfRule>
    <cfRule type="expression" priority="8" dxfId="2">
      <formula>LEFT(U5,2)="B："</formula>
    </cfRule>
    <cfRule type="expression" priority="9" dxfId="4">
      <formula>LEFT(U5,2)="C："</formula>
    </cfRule>
  </conditionalFormatting>
  <conditionalFormatting sqref="AJ5:AJ104">
    <cfRule type="expression" priority="10" dxfId="4">
      <formula>AND(AJ5&lt;&gt;"",AJ5&lt;&gt;"範囲内")</formula>
    </cfRule>
  </conditionalFormatting>
  <conditionalFormatting sqref="H5:H104">
    <cfRule type="expression" priority="11" dxfId="4">
      <formula>AND(H5&lt;&gt;"",OR(H5&lt;300,H5&gt;3000))</formula>
    </cfRule>
  </conditionalFormatting>
  <conditionalFormatting sqref="G5:G104">
    <cfRule type="cellIs" priority="12" operator="greaterThan" dxfId="4">
      <formula>7</formula>
    </cfRule>
  </conditionalFormatting>
  <dataValidations count="4">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T101 T102 T103 T104" showDropDown="0" showInputMessage="0" showErrorMessage="1" allowBlank="1" errorTitle="評価の入力" error="◯／△〜◯／△／×〜△／×／－ から選んでください" type="list">
      <formula1>"◯,△〜◯,△,×〜△,×,－"</formula1>
    </dataValidation>
    <dataValidation sqref="AE5 AE6 AE7 AE8 AE9 AE10 AE11 AE12 AE13 AE14 AE15 AE16 AE17 AE18 AE19 AE20 AE21 AE22 AE23 AE24 AE25 AE26 AE27 AE28 AE29 AE30 AE31 AE32 AE33 AE34 AE35 AE36 AE37 AE38 AE39 AE40 AE41 AE42 AE43 AE44 AE45 AE46 AE47 AE48 AE49 AE50 AE51 AE52 AE53 AE54 AE55 AE56 AE57 AE58 AE59 AE60 AE61 AE62 AE63 AE64 AE65 AE66 AE67 AE68 AE69 AE70 AE71 AE72 AE73 AE74 AE75 AE76 AE77 AE78 AE79 AE80 AE81 AE82 AE83 AE84 AE85 AE86 AE87 AE88 AE89 AE90 AE91 AE92 AE93 AE94 AE95 AE96 AE97 AE98 AE99 AE100 AE101 AE102 AE103 AE104" showDropDown="0" showInputMessage="0" showErrorMessage="0" allowBlank="1" type="list">
      <formula1>=仲介会社管理シート!$A$5:$A$40</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1" type="list">
      <formula1>=選択肢!$A$3:$A$10</formula1>
    </dataValidation>
    <dataValidation sqref="X5 X6 X7 X8 X9 X10 X11 X12 X13 X14 X15 X16 X17 X18 X19 X20 X21 X22 X23 X24 X25 X26 X27 X28 X29 X30 X31 X32 X33 X34 X35 X36 X37 X38 X39 X40 X41 X42 X43 X44 X45 X46 X47 X48 X49 X50 X51 X52 X53 X54 X55 X56 X57 X58 X59 X60 X61 X62 X63 X64 X65 X66 X67 X68 X69 X70 X71 X72 X73 X74 X75 X76 X77 X78 X79 X80 X81 X82 X83 X84 X85 X86 X87 X88 X89 X90 X91 X92 X93 X94 X95 X96 X97 X98 X99 X100 X101 X102 X103 X104" showDropDown="0" showInputMessage="0" showErrorMessage="0" allowBlank="1" type="list">
      <formula1>=選択肢!$C$3:$C$14</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O303"/>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12" customWidth="1" min="4" max="4"/>
    <col width="5" customWidth="1" min="5" max="5"/>
    <col width="18" customWidth="1" min="6" max="6"/>
    <col width="62" customWidth="1" min="7" max="7"/>
    <col width="40" customWidth="1" min="8" max="8"/>
    <col width="10" customWidth="1" min="9" max="9"/>
    <col width="8" customWidth="1" min="10" max="10"/>
    <col width="10" customWidth="1" min="11" max="11"/>
    <col width="52" customWidth="1" min="12" max="12"/>
    <col width="10" customWidth="1" min="13" max="13"/>
    <col width="28" customWidth="1" min="14" max="14"/>
    <col width="14" customWidth="1" min="15" max="15"/>
  </cols>
  <sheetData>
    <row r="1">
      <c r="A1" s="1" t="inlineStr">
        <is>
          <t>質問リスト（仲介会社の案件担当者向け）</t>
        </is>
      </c>
    </row>
    <row r="2" ht="28" customHeight="1">
      <c r="A2" s="26" t="inlineStr">
        <is>
          <t>案件Noを入れると企業名・仲介会社・案件担当者が案件管理から入ります。「関連項目」は、その回答で動く12項目の番号。状態を「解決」にすると案件管理の未解決質問カウントから外れます。案件Noで絞り込めば、その案件だけの質問票として読めます。優先度は 必須＝これが無いと評価が付かない／重要＝回答で評価が動く／確認＝リスクの念押し。</t>
        </is>
      </c>
    </row>
    <row r="3" ht="32" customHeight="1">
      <c r="A3" s="10" t="inlineStr">
        <is>
          <t>案件
No</t>
        </is>
      </c>
      <c r="B3" s="11" t="inlineStr">
        <is>
          <t>企業名</t>
        </is>
      </c>
      <c r="C3" s="11" t="inlineStr">
        <is>
          <t>仲介会社</t>
        </is>
      </c>
      <c r="D3" s="11" t="inlineStr">
        <is>
          <t>案件担当者</t>
        </is>
      </c>
      <c r="E3" s="10" t="inlineStr">
        <is>
          <t>Q#</t>
        </is>
      </c>
      <c r="F3" s="10" t="inlineStr">
        <is>
          <t>分類</t>
        </is>
      </c>
      <c r="G3" s="10" t="inlineStr">
        <is>
          <t>質問（このまま読める文）</t>
        </is>
      </c>
      <c r="H3" s="10" t="inlineStr">
        <is>
          <t>何を確かめたいか</t>
        </is>
      </c>
      <c r="I3" s="10" t="inlineStr">
        <is>
          <t>関連
項目</t>
        </is>
      </c>
      <c r="J3" s="10" t="inlineStr">
        <is>
          <t>優先度</t>
        </is>
      </c>
      <c r="K3" s="10" t="inlineStr">
        <is>
          <t>聞いた日</t>
        </is>
      </c>
      <c r="L3" s="10" t="inlineStr">
        <is>
          <t>回答</t>
        </is>
      </c>
      <c r="M3" s="10" t="inlineStr">
        <is>
          <t>回答日</t>
        </is>
      </c>
      <c r="N3" s="10" t="inlineStr">
        <is>
          <t>回答で動く評価</t>
        </is>
      </c>
      <c r="O3" s="10" t="inlineStr">
        <is>
          <t>状態</t>
        </is>
      </c>
    </row>
    <row r="4" ht="44" customHeight="1">
      <c r="A4" s="27" t="n">
        <v>2</v>
      </c>
      <c r="B4" s="17">
        <f>IF($A4="","",IFERROR(INDEX(案件管理!$B:$B,MATCH($A4,案件管理!$A:$A,0)),""))</f>
        <v/>
      </c>
      <c r="C4" s="17">
        <f>IF($A4="","",IFERROR(INDEX(案件管理!$AE:$AE,MATCH($A4,案件管理!$A:$A,0)),""))</f>
        <v/>
      </c>
      <c r="D4" s="17">
        <f>IF($A4="","",IFERROR(INDEX(案件管理!$AF:$AF,MATCH($A4,案件管理!$A:$A,0)),""))</f>
        <v/>
      </c>
      <c r="E4" s="27" t="n">
        <v>1</v>
      </c>
      <c r="F4" s="12" t="inlineStr">
        <is>
          <t>財務・実態損益</t>
        </is>
      </c>
      <c r="G4" s="13" t="inlineStr">
        <is>
          <t>得意先別の売上構成（上位5社の金額・比率）を直近3期分でご開示いただけますか。</t>
        </is>
      </c>
      <c r="H4" s="13" t="inlineStr">
        <is>
          <t>顧客集中度が分からず No.11 を判定できていない</t>
        </is>
      </c>
      <c r="I4" s="27" t="inlineStr">
        <is>
          <t>11</t>
        </is>
      </c>
      <c r="J4" s="27" t="inlineStr">
        <is>
          <t>必須</t>
        </is>
      </c>
      <c r="K4" s="22" t="n"/>
      <c r="L4" s="20" t="n"/>
      <c r="M4" s="22" t="n"/>
      <c r="N4" s="20" t="n"/>
      <c r="O4" s="27" t="inlineStr">
        <is>
          <t>未質問</t>
        </is>
      </c>
    </row>
    <row r="5" ht="44" customHeight="1">
      <c r="A5" s="27" t="n">
        <v>2</v>
      </c>
      <c r="B5" s="17">
        <f>IF($A5="","",IFERROR(INDEX(案件管理!$B:$B,MATCH($A5,案件管理!$A:$A,0)),""))</f>
        <v/>
      </c>
      <c r="C5" s="17">
        <f>IF($A5="","",IFERROR(INDEX(案件管理!$AE:$AE,MATCH($A5,案件管理!$A:$A,0)),""))</f>
        <v/>
      </c>
      <c r="D5" s="17">
        <f>IF($A5="","",IFERROR(INDEX(案件管理!$AF:$AF,MATCH($A5,案件管理!$A:$A,0)),""))</f>
        <v/>
      </c>
      <c r="E5" s="27" t="n">
        <v>2</v>
      </c>
      <c r="F5" s="12" t="inlineStr">
        <is>
          <t>取引先・依存</t>
        </is>
      </c>
      <c r="G5" s="13" t="inlineStr">
        <is>
          <t>外注先別の発注金額（上位5社）をご開示ください。外注費が売上比41.2%→48.0%→53.0%と上昇した要因（数量増／単価上昇／自社施工からの振替）も併せてお願いします。</t>
        </is>
      </c>
      <c r="H5" s="13" t="inlineStr">
        <is>
          <t>外注先の一社が船橋市の競合（基興業）でもある。代替不能な単一依存なら No.11 は ×</t>
        </is>
      </c>
      <c r="I5" s="27" t="inlineStr">
        <is>
          <t>11 / 3</t>
        </is>
      </c>
      <c r="J5" s="27" t="inlineStr">
        <is>
          <t>必須</t>
        </is>
      </c>
      <c r="K5" s="22" t="n"/>
      <c r="L5" s="20" t="n"/>
      <c r="M5" s="22" t="n"/>
      <c r="N5" s="20" t="n"/>
      <c r="O5" s="27" t="inlineStr">
        <is>
          <t>未質問</t>
        </is>
      </c>
    </row>
    <row r="6" ht="44" customHeight="1">
      <c r="A6" s="27" t="n">
        <v>2</v>
      </c>
      <c r="B6" s="17">
        <f>IF($A6="","",IFERROR(INDEX(案件管理!$B:$B,MATCH($A6,案件管理!$A:$A,0)),""))</f>
        <v/>
      </c>
      <c r="C6" s="17">
        <f>IF($A6="","",IFERROR(INDEX(案件管理!$AE:$AE,MATCH($A6,案件管理!$A:$A,0)),""))</f>
        <v/>
      </c>
      <c r="D6" s="17">
        <f>IF($A6="","",IFERROR(INDEX(案件管理!$AF:$AF,MATCH($A6,案件管理!$A:$A,0)),""))</f>
        <v/>
      </c>
      <c r="E6" s="27" t="n">
        <v>3</v>
      </c>
      <c r="F6" s="12" t="inlineStr">
        <is>
          <t>財務・実態損益</t>
        </is>
      </c>
      <c r="G6" s="13" t="inlineStr">
        <is>
          <t>粗利率が2025年6月期に18.4%へ低下しています。要因の分析と、今期の改善見込み（選別受注の効果）を数値でお示しいただけますか。</t>
        </is>
      </c>
      <c r="H6" s="13" t="inlineStr">
        <is>
          <t>3期平均20.5%で基準30%を大きく下回る。改善の蓋然性</t>
        </is>
      </c>
      <c r="I6" s="27" t="inlineStr">
        <is>
          <t>3</t>
        </is>
      </c>
      <c r="J6" s="27" t="inlineStr">
        <is>
          <t>重要</t>
        </is>
      </c>
      <c r="K6" s="22" t="n"/>
      <c r="L6" s="20" t="n"/>
      <c r="M6" s="22" t="n"/>
      <c r="N6" s="20" t="n"/>
      <c r="O6" s="27" t="inlineStr">
        <is>
          <t>未質問</t>
        </is>
      </c>
    </row>
    <row r="7" ht="44" customHeight="1">
      <c r="A7" s="27" t="n">
        <v>2</v>
      </c>
      <c r="B7" s="17">
        <f>IF($A7="","",IFERROR(INDEX(案件管理!$B:$B,MATCH($A7,案件管理!$A:$A,0)),""))</f>
        <v/>
      </c>
      <c r="C7" s="17">
        <f>IF($A7="","",IFERROR(INDEX(案件管理!$AE:$AE,MATCH($A7,案件管理!$A:$A,0)),""))</f>
        <v/>
      </c>
      <c r="D7" s="17">
        <f>IF($A7="","",IFERROR(INDEX(案件管理!$AF:$AF,MATCH($A7,案件管理!$A:$A,0)),""))</f>
        <v/>
      </c>
      <c r="E7" s="27" t="n">
        <v>4</v>
      </c>
      <c r="F7" s="12" t="inlineStr">
        <is>
          <t>財務・実態損益</t>
        </is>
      </c>
      <c r="G7" s="13" t="inlineStr">
        <is>
          <t>2023年6月期の営業利益は△2,100千円で、福利厚生費・接待交際費の利益修正5,675千円で黒字化しています。この修正の根拠資料を頂けますか。</t>
        </is>
      </c>
      <c r="H7" s="13" t="inlineStr">
        <is>
          <t>実態EBITDAの信頼性。修正が過大なら3期連続黒字が崩れる</t>
        </is>
      </c>
      <c r="I7" s="27" t="inlineStr">
        <is>
          <t>2</t>
        </is>
      </c>
      <c r="J7" s="27" t="inlineStr">
        <is>
          <t>重要</t>
        </is>
      </c>
      <c r="K7" s="22" t="n"/>
      <c r="L7" s="20" t="n"/>
      <c r="M7" s="22" t="n"/>
      <c r="N7" s="20" t="n"/>
      <c r="O7" s="27" t="inlineStr">
        <is>
          <t>未質問</t>
        </is>
      </c>
    </row>
    <row r="8" ht="44" customHeight="1">
      <c r="A8" s="27" t="n">
        <v>2</v>
      </c>
      <c r="B8" s="17">
        <f>IF($A8="","",IFERROR(INDEX(案件管理!$B:$B,MATCH($A8,案件管理!$A:$A,0)),""))</f>
        <v/>
      </c>
      <c r="C8" s="17">
        <f>IF($A8="","",IFERROR(INDEX(案件管理!$AE:$AE,MATCH($A8,案件管理!$A:$A,0)),""))</f>
        <v/>
      </c>
      <c r="D8" s="17">
        <f>IF($A8="","",IFERROR(INDEX(案件管理!$AF:$AF,MATCH($A8,案件管理!$A:$A,0)),""))</f>
        <v/>
      </c>
      <c r="E8" s="27" t="n">
        <v>5</v>
      </c>
      <c r="F8" s="12" t="inlineStr">
        <is>
          <t>財務・実態損益</t>
        </is>
      </c>
      <c r="G8" s="13" t="inlineStr">
        <is>
          <t>進行期（2026年6月期）の月次売上・粗利の実績を直近月まで頂けますか。「売上はやや下ブレ見込み」の具体的なレンジも併せてお願いします。</t>
        </is>
      </c>
      <c r="H8" s="13" t="inlineStr">
        <is>
          <t>進行期業績が未開示</t>
        </is>
      </c>
      <c r="I8" s="27" t="inlineStr">
        <is>
          <t>2 / 3</t>
        </is>
      </c>
      <c r="J8" s="27" t="inlineStr">
        <is>
          <t>必須</t>
        </is>
      </c>
      <c r="K8" s="22" t="n"/>
      <c r="L8" s="20" t="n"/>
      <c r="M8" s="22" t="n"/>
      <c r="N8" s="20" t="n"/>
      <c r="O8" s="27" t="inlineStr">
        <is>
          <t>未質問</t>
        </is>
      </c>
    </row>
    <row r="9" ht="44" customHeight="1">
      <c r="A9" s="27" t="n">
        <v>2</v>
      </c>
      <c r="B9" s="17">
        <f>IF($A9="","",IFERROR(INDEX(案件管理!$B:$B,MATCH($A9,案件管理!$A:$A,0)),""))</f>
        <v/>
      </c>
      <c r="C9" s="17">
        <f>IF($A9="","",IFERROR(INDEX(案件管理!$AE:$AE,MATCH($A9,案件管理!$A:$A,0)),""))</f>
        <v/>
      </c>
      <c r="D9" s="17">
        <f>IF($A9="","",IFERROR(INDEX(案件管理!$AF:$AF,MATCH($A9,案件管理!$A:$A,0)),""))</f>
        <v/>
      </c>
      <c r="E9" s="27" t="n">
        <v>6</v>
      </c>
      <c r="F9" s="12" t="inlineStr">
        <is>
          <t>価格・バリュエーション</t>
        </is>
      </c>
      <c r="G9" s="13" t="inlineStr">
        <is>
          <t>希望価格の「進行期の純資産積み上げ分」は、いくらを想定されていますか。基準日と算定方法もご教示ください。</t>
        </is>
      </c>
      <c r="H9" s="13" t="inlineStr">
        <is>
          <t>総額が確定しないと価格判定が仮置きのままになる</t>
        </is>
      </c>
      <c r="I9" s="27" t="inlineStr">
        <is>
          <t>5</t>
        </is>
      </c>
      <c r="J9" s="27" t="inlineStr">
        <is>
          <t>必須</t>
        </is>
      </c>
      <c r="K9" s="22" t="n"/>
      <c r="L9" s="20" t="n"/>
      <c r="M9" s="22" t="n"/>
      <c r="N9" s="20" t="n"/>
      <c r="O9" s="27" t="inlineStr">
        <is>
          <t>未質問</t>
        </is>
      </c>
    </row>
    <row r="10" ht="44" customHeight="1">
      <c r="A10" s="27" t="n">
        <v>2</v>
      </c>
      <c r="B10" s="17">
        <f>IF($A10="","",IFERROR(INDEX(案件管理!$B:$B,MATCH($A10,案件管理!$A:$A,0)),""))</f>
        <v/>
      </c>
      <c r="C10" s="17">
        <f>IF($A10="","",IFERROR(INDEX(案件管理!$AE:$AE,MATCH($A10,案件管理!$A:$A,0)),""))</f>
        <v/>
      </c>
      <c r="D10" s="17">
        <f>IF($A10="","",IFERROR(INDEX(案件管理!$AF:$AF,MATCH($A10,案件管理!$A:$A,0)),""))</f>
        <v/>
      </c>
      <c r="E10" s="27" t="n">
        <v>7</v>
      </c>
      <c r="F10" s="12" t="inlineStr">
        <is>
          <t>BS・運転資本</t>
        </is>
      </c>
      <c r="G10" s="13" t="inlineStr">
        <is>
          <t>有利子負債295,383千円について、金融機関別の残高・金利・返済スケジュール、および代表者の個人保証・担保提供の状況をご開示ください。</t>
        </is>
      </c>
      <c r="H10" s="13" t="inlineStr">
        <is>
          <t>EV/EBITDAが19.4倍になる主因。借換条件で実行可能性が変わる</t>
        </is>
      </c>
      <c r="I10" s="27" t="inlineStr">
        <is>
          <t>5 / 1-2</t>
        </is>
      </c>
      <c r="J10" s="27" t="inlineStr">
        <is>
          <t>必須</t>
        </is>
      </c>
      <c r="K10" s="22" t="n"/>
      <c r="L10" s="20" t="n"/>
      <c r="M10" s="22" t="n"/>
      <c r="N10" s="20" t="n"/>
      <c r="O10" s="27" t="inlineStr">
        <is>
          <t>未質問</t>
        </is>
      </c>
    </row>
    <row r="11" ht="44" customHeight="1">
      <c r="A11" s="27" t="n">
        <v>2</v>
      </c>
      <c r="B11" s="17">
        <f>IF($A11="","",IFERROR(INDEX(案件管理!$B:$B,MATCH($A11,案件管理!$A:$A,0)),""))</f>
        <v/>
      </c>
      <c r="C11" s="17">
        <f>IF($A11="","",IFERROR(INDEX(案件管理!$AE:$AE,MATCH($A11,案件管理!$A:$A,0)),""))</f>
        <v/>
      </c>
      <c r="D11" s="17">
        <f>IF($A11="","",IFERROR(INDEX(案件管理!$AF:$AF,MATCH($A11,案件管理!$A:$A,0)),""))</f>
        <v/>
      </c>
      <c r="E11" s="27" t="n">
        <v>8</v>
      </c>
      <c r="F11" s="12" t="inlineStr">
        <is>
          <t>BS・運転資本</t>
        </is>
      </c>
      <c r="G11" s="13" t="inlineStr">
        <is>
          <t>工事未収入金の焦付き30,000千円について、相手先・発生時期と、年5,000千円ずつの除却が売主と合意済みかをご教示ください。</t>
        </is>
      </c>
      <c r="H11" s="13" t="inlineStr">
        <is>
          <t>時価純資産を△30,000修正している唯一の項目。他に焦付きがないか</t>
        </is>
      </c>
      <c r="I11" s="27" t="inlineStr">
        <is>
          <t>5 / 9</t>
        </is>
      </c>
      <c r="J11" s="27" t="inlineStr">
        <is>
          <t>重要</t>
        </is>
      </c>
      <c r="K11" s="22" t="n"/>
      <c r="L11" s="20" t="n"/>
      <c r="M11" s="22" t="n"/>
      <c r="N11" s="20" t="n"/>
      <c r="O11" s="27" t="inlineStr">
        <is>
          <t>未質問</t>
        </is>
      </c>
    </row>
    <row r="12" ht="44" customHeight="1">
      <c r="A12" s="27" t="n">
        <v>2</v>
      </c>
      <c r="B12" s="17">
        <f>IF($A12="","",IFERROR(INDEX(案件管理!$B:$B,MATCH($A12,案件管理!$A:$A,0)),""))</f>
        <v/>
      </c>
      <c r="C12" s="17">
        <f>IF($A12="","",IFERROR(INDEX(案件管理!$AE:$AE,MATCH($A12,案件管理!$A:$A,0)),""))</f>
        <v/>
      </c>
      <c r="D12" s="17">
        <f>IF($A12="","",IFERROR(INDEX(案件管理!$AF:$AF,MATCH($A12,案件管理!$A:$A,0)),""))</f>
        <v/>
      </c>
      <c r="E12" s="27" t="n">
        <v>9</v>
      </c>
      <c r="F12" s="12" t="inlineStr">
        <is>
          <t>BS・運転資本</t>
        </is>
      </c>
      <c r="G12" s="13" t="inlineStr">
        <is>
          <t>仕掛工事75,689千円の内訳（現場別の残高と完成見込み時期）をご開示ください。</t>
        </is>
      </c>
      <c r="H12" s="13" t="inlineStr">
        <is>
          <t>必要運転資金の認識。倍率が19.4倍か16.7倍かに効く</t>
        </is>
      </c>
      <c r="I12" s="27" t="inlineStr">
        <is>
          <t>5 / 1-3</t>
        </is>
      </c>
      <c r="J12" s="27" t="inlineStr">
        <is>
          <t>重要</t>
        </is>
      </c>
      <c r="K12" s="22" t="n"/>
      <c r="L12" s="20" t="n"/>
      <c r="M12" s="22" t="n"/>
      <c r="N12" s="20" t="n"/>
      <c r="O12" s="27" t="inlineStr">
        <is>
          <t>未質問</t>
        </is>
      </c>
    </row>
    <row r="13" ht="44" customHeight="1">
      <c r="A13" s="27" t="n">
        <v>2</v>
      </c>
      <c r="B13" s="17">
        <f>IF($A13="","",IFERROR(INDEX(案件管理!$B:$B,MATCH($A13,案件管理!$A:$A,0)),""))</f>
        <v/>
      </c>
      <c r="C13" s="17">
        <f>IF($A13="","",IFERROR(INDEX(案件管理!$AE:$AE,MATCH($A13,案件管理!$A:$A,0)),""))</f>
        <v/>
      </c>
      <c r="D13" s="17">
        <f>IF($A13="","",IFERROR(INDEX(案件管理!$AF:$AF,MATCH($A13,案件管理!$A:$A,0)),""))</f>
        <v/>
      </c>
      <c r="E13" s="27" t="n">
        <v>10</v>
      </c>
      <c r="F13" s="12" t="inlineStr">
        <is>
          <t>売却理由・売主</t>
        </is>
      </c>
      <c r="G13" s="13" t="inlineStr">
        <is>
          <t>譲渡理由が「後継者不在」ですが、代表は55歳、弟の寿晴様が取締役として20%を保有されています。承継先として検討されなかった経緯をお聞かせください。</t>
        </is>
      </c>
      <c r="H13" s="13" t="inlineStr">
        <is>
          <t>売却理由の整合性。隠れたリスクの兆候</t>
        </is>
      </c>
      <c r="I13" s="27" t="inlineStr">
        <is>
          <t>9</t>
        </is>
      </c>
      <c r="J13" s="27" t="inlineStr">
        <is>
          <t>重要</t>
        </is>
      </c>
      <c r="K13" s="22" t="n"/>
      <c r="L13" s="20" t="n"/>
      <c r="M13" s="22" t="n"/>
      <c r="N13" s="20" t="n"/>
      <c r="O13" s="27" t="inlineStr">
        <is>
          <t>未質問</t>
        </is>
      </c>
    </row>
    <row r="14" ht="44" customHeight="1">
      <c r="A14" s="27" t="n">
        <v>2</v>
      </c>
      <c r="B14" s="17">
        <f>IF($A14="","",IFERROR(INDEX(案件管理!$B:$B,MATCH($A14,案件管理!$A:$A,0)),""))</f>
        <v/>
      </c>
      <c r="C14" s="17">
        <f>IF($A14="","",IFERROR(INDEX(案件管理!$AE:$AE,MATCH($A14,案件管理!$A:$A,0)),""))</f>
        <v/>
      </c>
      <c r="D14" s="17">
        <f>IF($A14="","",IFERROR(INDEX(案件管理!$AF:$AF,MATCH($A14,案件管理!$A:$A,0)),""))</f>
        <v/>
      </c>
      <c r="E14" s="27" t="n">
        <v>11</v>
      </c>
      <c r="F14" s="12" t="inlineStr">
        <is>
          <t>人材・組織</t>
        </is>
      </c>
      <c r="G14" s="13" t="inlineStr">
        <is>
          <t>建設業許可（千葉県知事認可 左官工事）の専任技術者に該当する方はどなたですか。従業員一覧の資格・免許欄がほぼ空欄ですが、案件名の「有資格者多数」はどの資格を指していますか。</t>
        </is>
      </c>
      <c r="H14" s="13" t="inlineStr">
        <is>
          <t>許認可の承継可能性とキーマンリスク。案件名との整合</t>
        </is>
      </c>
      <c r="I14" s="27" t="inlineStr">
        <is>
          <t>12</t>
        </is>
      </c>
      <c r="J14" s="27" t="inlineStr">
        <is>
          <t>必須</t>
        </is>
      </c>
      <c r="K14" s="22" t="n"/>
      <c r="L14" s="20" t="n"/>
      <c r="M14" s="22" t="n"/>
      <c r="N14" s="20" t="n"/>
      <c r="O14" s="27" t="inlineStr">
        <is>
          <t>未質問</t>
        </is>
      </c>
    </row>
    <row r="15" ht="44" customHeight="1">
      <c r="A15" s="27" t="n">
        <v>2</v>
      </c>
      <c r="B15" s="17">
        <f>IF($A15="","",IFERROR(INDEX(案件管理!$B:$B,MATCH($A15,案件管理!$A:$A,0)),""))</f>
        <v/>
      </c>
      <c r="C15" s="17">
        <f>IF($A15="","",IFERROR(INDEX(案件管理!$AE:$AE,MATCH($A15,案件管理!$A:$A,0)),""))</f>
        <v/>
      </c>
      <c r="D15" s="17">
        <f>IF($A15="","",IFERROR(INDEX(案件管理!$AF:$AF,MATCH($A15,案件管理!$A:$A,0)),""))</f>
        <v/>
      </c>
      <c r="E15" s="27" t="n">
        <v>12</v>
      </c>
      <c r="F15" s="12" t="inlineStr">
        <is>
          <t>人材・組織</t>
        </is>
      </c>
      <c r="G15" s="13" t="inlineStr">
        <is>
          <t>社長が営業を一手に担われていますが、引継ぎ期間・顧問就任の条件をご教示ください。元請との関係が個人に紐づく度合いも伺えますか。</t>
        </is>
      </c>
      <c r="H15" s="13" t="inlineStr">
        <is>
          <t>社長離脱時に売上が維持できるか</t>
        </is>
      </c>
      <c r="I15" s="27" t="inlineStr">
        <is>
          <t>12</t>
        </is>
      </c>
      <c r="J15" s="27" t="inlineStr">
        <is>
          <t>重要</t>
        </is>
      </c>
      <c r="K15" s="22" t="n"/>
      <c r="L15" s="20" t="n"/>
      <c r="M15" s="22" t="n"/>
      <c r="N15" s="20" t="n"/>
      <c r="O15" s="27" t="inlineStr">
        <is>
          <t>未質問</t>
        </is>
      </c>
    </row>
    <row r="16" ht="44" customHeight="1">
      <c r="A16" s="27" t="n">
        <v>2</v>
      </c>
      <c r="B16" s="17">
        <f>IF($A16="","",IFERROR(INDEX(案件管理!$B:$B,MATCH($A16,案件管理!$A:$A,0)),""))</f>
        <v/>
      </c>
      <c r="C16" s="17">
        <f>IF($A16="","",IFERROR(INDEX(案件管理!$AE:$AE,MATCH($A16,案件管理!$A:$A,0)),""))</f>
        <v/>
      </c>
      <c r="D16" s="17">
        <f>IF($A16="","",IFERROR(INDEX(案件管理!$AF:$AF,MATCH($A16,案件管理!$A:$A,0)),""))</f>
        <v/>
      </c>
      <c r="E16" s="27" t="n">
        <v>13</v>
      </c>
      <c r="F16" s="12" t="inlineStr">
        <is>
          <t>スキーム・条件</t>
        </is>
      </c>
      <c r="G16" s="13" t="inlineStr">
        <is>
          <t>意向表明の期限をご提示いただけますか。</t>
        </is>
      </c>
      <c r="H16" s="13" t="inlineStr">
        <is>
          <t>期限が未提示</t>
        </is>
      </c>
      <c r="I16" s="27" t="inlineStr">
        <is>
          <t>－</t>
        </is>
      </c>
      <c r="J16" s="27" t="inlineStr">
        <is>
          <t>確認</t>
        </is>
      </c>
      <c r="K16" s="22" t="n"/>
      <c r="L16" s="20" t="n"/>
      <c r="M16" s="22" t="n"/>
      <c r="N16" s="20" t="n"/>
      <c r="O16" s="27" t="inlineStr">
        <is>
          <t>未質問</t>
        </is>
      </c>
    </row>
    <row r="17" ht="44" customHeight="1">
      <c r="A17" s="27" t="n">
        <v>3</v>
      </c>
      <c r="B17" s="17">
        <f>IF($A17="","",IFERROR(INDEX(案件管理!$B:$B,MATCH($A17,案件管理!$A:$A,0)),""))</f>
        <v/>
      </c>
      <c r="C17" s="17">
        <f>IF($A17="","",IFERROR(INDEX(案件管理!$AE:$AE,MATCH($A17,案件管理!$A:$A,0)),""))</f>
        <v/>
      </c>
      <c r="D17" s="17">
        <f>IF($A17="","",IFERROR(INDEX(案件管理!$AF:$AF,MATCH($A17,案件管理!$A:$A,0)),""))</f>
        <v/>
      </c>
      <c r="E17" s="27" t="n">
        <v>1</v>
      </c>
      <c r="F17" s="12" t="inlineStr">
        <is>
          <t>スキーム・条件</t>
        </is>
      </c>
      <c r="G17" s="13" t="inlineStr">
        <is>
          <t>意向表明が「9月提出」となっていますが、期限は延長可能でしょうか。</t>
        </is>
      </c>
      <c r="H17" s="13" t="inlineStr">
        <is>
          <t>本日時点で実質期限切れ。ここが通らないと他の質問が無意味になる</t>
        </is>
      </c>
      <c r="I17" s="27" t="inlineStr">
        <is>
          <t>－</t>
        </is>
      </c>
      <c r="J17" s="27" t="inlineStr">
        <is>
          <t>必須</t>
        </is>
      </c>
      <c r="K17" s="22" t="n"/>
      <c r="L17" s="20" t="n"/>
      <c r="M17" s="22" t="n"/>
      <c r="N17" s="20" t="n"/>
      <c r="O17" s="27" t="inlineStr">
        <is>
          <t>未質問</t>
        </is>
      </c>
    </row>
    <row r="18" ht="44" customHeight="1">
      <c r="A18" s="27" t="n">
        <v>3</v>
      </c>
      <c r="B18" s="17">
        <f>IF($A18="","",IFERROR(INDEX(案件管理!$B:$B,MATCH($A18,案件管理!$A:$A,0)),""))</f>
        <v/>
      </c>
      <c r="C18" s="17">
        <f>IF($A18="","",IFERROR(INDEX(案件管理!$AE:$AE,MATCH($A18,案件管理!$A:$A,0)),""))</f>
        <v/>
      </c>
      <c r="D18" s="17">
        <f>IF($A18="","",IFERROR(INDEX(案件管理!$AF:$AF,MATCH($A18,案件管理!$A:$A,0)),""))</f>
        <v/>
      </c>
      <c r="E18" s="27" t="n">
        <v>2</v>
      </c>
      <c r="F18" s="12" t="inlineStr">
        <is>
          <t>価格・バリュエーション</t>
        </is>
      </c>
      <c r="G18" s="13" t="inlineStr">
        <is>
          <t>希望価格は「応相談」ですが、売主様の想定レンジをご教示ください。概要書の簡易査定（修正後EBITDA×3〜4倍＝555〜741百万円）が売主の期待値と一致しているかも含めてお願いします。</t>
        </is>
      </c>
      <c r="H18" s="13" t="inlineStr">
        <is>
          <t>価格が確定しないと No.5 の◯が仮置きのまま</t>
        </is>
      </c>
      <c r="I18" s="27" t="inlineStr">
        <is>
          <t>5</t>
        </is>
      </c>
      <c r="J18" s="27" t="inlineStr">
        <is>
          <t>必須</t>
        </is>
      </c>
      <c r="K18" s="22" t="n"/>
      <c r="L18" s="20" t="n"/>
      <c r="M18" s="22" t="n"/>
      <c r="N18" s="20" t="n"/>
      <c r="O18" s="27" t="inlineStr">
        <is>
          <t>未質問</t>
        </is>
      </c>
    </row>
    <row r="19" ht="44" customHeight="1">
      <c r="A19" s="27" t="n">
        <v>3</v>
      </c>
      <c r="B19" s="17">
        <f>IF($A19="","",IFERROR(INDEX(案件管理!$B:$B,MATCH($A19,案件管理!$A:$A,0)),""))</f>
        <v/>
      </c>
      <c r="C19" s="17">
        <f>IF($A19="","",IFERROR(INDEX(案件管理!$AE:$AE,MATCH($A19,案件管理!$A:$A,0)),""))</f>
        <v/>
      </c>
      <c r="D19" s="17">
        <f>IF($A19="","",IFERROR(INDEX(案件管理!$AF:$AF,MATCH($A19,案件管理!$A:$A,0)),""))</f>
        <v/>
      </c>
      <c r="E19" s="27" t="n">
        <v>3</v>
      </c>
      <c r="F19" s="12" t="inlineStr">
        <is>
          <t>財務・実態損益</t>
        </is>
      </c>
      <c r="G19" s="13" t="inlineStr">
        <is>
          <t>NNシートの「簿価純資産 約191百万円」と、企業概要書の純資産合計145,554千円が食い違っています。191,225千円は概要書の固定資産合計と同額ですが、NN側の転記誤りでしょうか。</t>
        </is>
      </c>
      <c r="H19" s="13" t="inlineStr">
        <is>
          <t>資料間の不整合。開示の質そのものの確認</t>
        </is>
      </c>
      <c r="I19" s="27" t="inlineStr">
        <is>
          <t>9</t>
        </is>
      </c>
      <c r="J19" s="27" t="inlineStr">
        <is>
          <t>必須</t>
        </is>
      </c>
      <c r="K19" s="22" t="n"/>
      <c r="L19" s="20" t="n"/>
      <c r="M19" s="22" t="n"/>
      <c r="N19" s="20" t="n"/>
      <c r="O19" s="27" t="inlineStr">
        <is>
          <t>未質問</t>
        </is>
      </c>
    </row>
    <row r="20" ht="44" customHeight="1">
      <c r="A20" s="27" t="n">
        <v>3</v>
      </c>
      <c r="B20" s="17">
        <f>IF($A20="","",IFERROR(INDEX(案件管理!$B:$B,MATCH($A20,案件管理!$A:$A,0)),""))</f>
        <v/>
      </c>
      <c r="C20" s="17">
        <f>IF($A20="","",IFERROR(INDEX(案件管理!$AE:$AE,MATCH($A20,案件管理!$A:$A,0)),""))</f>
        <v/>
      </c>
      <c r="D20" s="17">
        <f>IF($A20="","",IFERROR(INDEX(案件管理!$AF:$AF,MATCH($A20,案件管理!$A:$A,0)),""))</f>
        <v/>
      </c>
      <c r="E20" s="27" t="n">
        <v>4</v>
      </c>
      <c r="F20" s="12" t="inlineStr">
        <is>
          <t>財務・実態損益</t>
        </is>
      </c>
      <c r="G20" s="13" t="inlineStr">
        <is>
          <t>概要書内でEBITDAが2箇所で異なります（p7：68,763／168,999、p51：68,359／168,513）。差額は繰延資産償却404／486千円ですが、どちらを正とすべきでしょうか。</t>
        </is>
      </c>
      <c r="H20" s="13" t="inlineStr">
        <is>
          <t>同一資料内の不整合。倍率の分母が変わる</t>
        </is>
      </c>
      <c r="I20" s="27" t="inlineStr">
        <is>
          <t>2 / 5</t>
        </is>
      </c>
      <c r="J20" s="27" t="inlineStr">
        <is>
          <t>重要</t>
        </is>
      </c>
      <c r="K20" s="22" t="n"/>
      <c r="L20" s="20" t="n"/>
      <c r="M20" s="22" t="n"/>
      <c r="N20" s="20" t="n"/>
      <c r="O20" s="27" t="inlineStr">
        <is>
          <t>未質問</t>
        </is>
      </c>
    </row>
    <row r="21" ht="44" customHeight="1">
      <c r="A21" s="27" t="n">
        <v>3</v>
      </c>
      <c r="B21" s="17">
        <f>IF($A21="","",IFERROR(INDEX(案件管理!$B:$B,MATCH($A21,案件管理!$A:$A,0)),""))</f>
        <v/>
      </c>
      <c r="C21" s="17">
        <f>IF($A21="","",IFERROR(INDEX(案件管理!$AE:$AE,MATCH($A21,案件管理!$A:$A,0)),""))</f>
        <v/>
      </c>
      <c r="D21" s="17">
        <f>IF($A21="","",IFERROR(INDEX(案件管理!$AF:$AF,MATCH($A21,案件管理!$A:$A,0)),""))</f>
        <v/>
      </c>
      <c r="E21" s="27" t="n">
        <v>5</v>
      </c>
      <c r="F21" s="12" t="inlineStr">
        <is>
          <t>財務・実態損益</t>
        </is>
      </c>
      <c r="G21" s="13" t="inlineStr">
        <is>
          <t>店舗別の月次売上推移を開店月から頂けますか。オープン直後の需要が落ち着いた後の水準を見たいです。</t>
        </is>
      </c>
      <c r="H21" s="13" t="inlineStr">
        <is>
          <t>7店舗を18ヶ月で開けており既存店の定常水準が不明。業歴2期の弱点を補う材料</t>
        </is>
      </c>
      <c r="I21" s="27" t="inlineStr">
        <is>
          <t>2 / 8-2</t>
        </is>
      </c>
      <c r="J21" s="27" t="inlineStr">
        <is>
          <t>必須</t>
        </is>
      </c>
      <c r="K21" s="22" t="n"/>
      <c r="L21" s="20" t="n"/>
      <c r="M21" s="22" t="n"/>
      <c r="N21" s="20" t="n"/>
      <c r="O21" s="27" t="inlineStr">
        <is>
          <t>未質問</t>
        </is>
      </c>
    </row>
    <row r="22" ht="44" customHeight="1">
      <c r="A22" s="27" t="n">
        <v>3</v>
      </c>
      <c r="B22" s="17">
        <f>IF($A22="","",IFERROR(INDEX(案件管理!$B:$B,MATCH($A22,案件管理!$A:$A,0)),""))</f>
        <v/>
      </c>
      <c r="C22" s="17">
        <f>IF($A22="","",IFERROR(INDEX(案件管理!$AE:$AE,MATCH($A22,案件管理!$A:$A,0)),""))</f>
        <v/>
      </c>
      <c r="D22" s="17">
        <f>IF($A22="","",IFERROR(INDEX(案件管理!$AF:$AF,MATCH($A22,案件管理!$A:$A,0)),""))</f>
        <v/>
      </c>
      <c r="E22" s="27" t="n">
        <v>6</v>
      </c>
      <c r="F22" s="12" t="inlineStr">
        <is>
          <t>事業モデル・市場</t>
        </is>
      </c>
      <c r="G22" s="13" t="inlineStr">
        <is>
          <t>リピート率・客単価・会員制度の有無をご教示ください。</t>
        </is>
      </c>
      <c r="H22" s="13" t="inlineStr">
        <is>
          <t>No.8-1 が×〜△。ストック性の実態</t>
        </is>
      </c>
      <c r="I22" s="27" t="inlineStr">
        <is>
          <t>8-1</t>
        </is>
      </c>
      <c r="J22" s="27" t="inlineStr">
        <is>
          <t>重要</t>
        </is>
      </c>
      <c r="K22" s="22" t="n"/>
      <c r="L22" s="20" t="n"/>
      <c r="M22" s="22" t="n"/>
      <c r="N22" s="20" t="n"/>
      <c r="O22" s="27" t="inlineStr">
        <is>
          <t>未質問</t>
        </is>
      </c>
    </row>
    <row r="23" ht="44" customHeight="1">
      <c r="A23" s="27" t="n">
        <v>3</v>
      </c>
      <c r="B23" s="17">
        <f>IF($A23="","",IFERROR(INDEX(案件管理!$B:$B,MATCH($A23,案件管理!$A:$A,0)),""))</f>
        <v/>
      </c>
      <c r="C23" s="17">
        <f>IF($A23="","",IFERROR(INDEX(案件管理!$AE:$AE,MATCH($A23,案件管理!$A:$A,0)),""))</f>
        <v/>
      </c>
      <c r="D23" s="17">
        <f>IF($A23="","",IFERROR(INDEX(案件管理!$AF:$AF,MATCH($A23,案件管理!$A:$A,0)),""))</f>
        <v/>
      </c>
      <c r="E23" s="27" t="n">
        <v>7</v>
      </c>
      <c r="F23" s="12" t="inlineStr">
        <is>
          <t>事業モデル・市場</t>
        </is>
      </c>
      <c r="G23" s="13" t="inlineStr">
        <is>
          <t>「動物カフェは業態として盛り上がっており」とありますが、業態としてのピークアウト兆候（競合の出店数、SNS露出の推移など）について売主様のご認識を伺えますか。</t>
        </is>
      </c>
      <c r="H23" s="13" t="inlineStr">
        <is>
          <t>No.8-2 が×。ブーム依存の度合いを当事者の認識で確かめる</t>
        </is>
      </c>
      <c r="I23" s="27" t="inlineStr">
        <is>
          <t>8-2 / 4</t>
        </is>
      </c>
      <c r="J23" s="27" t="inlineStr">
        <is>
          <t>重要</t>
        </is>
      </c>
      <c r="K23" s="22" t="n"/>
      <c r="L23" s="20" t="n"/>
      <c r="M23" s="22" t="n"/>
      <c r="N23" s="20" t="n"/>
      <c r="O23" s="27" t="inlineStr">
        <is>
          <t>未質問</t>
        </is>
      </c>
    </row>
    <row r="24" ht="44" customHeight="1">
      <c r="A24" s="27" t="n">
        <v>3</v>
      </c>
      <c r="B24" s="17">
        <f>IF($A24="","",IFERROR(INDEX(案件管理!$B:$B,MATCH($A24,案件管理!$A:$A,0)),""))</f>
        <v/>
      </c>
      <c r="C24" s="17">
        <f>IF($A24="","",IFERROR(INDEX(案件管理!$AE:$AE,MATCH($A24,案件管理!$A:$A,0)),""))</f>
        <v/>
      </c>
      <c r="D24" s="17">
        <f>IF($A24="","",IFERROR(INDEX(案件管理!$AF:$AF,MATCH($A24,案件管理!$A:$A,0)),""))</f>
        <v/>
      </c>
      <c r="E24" s="27" t="n">
        <v>8</v>
      </c>
      <c r="F24" s="12" t="inlineStr">
        <is>
          <t>人材・組織</t>
        </is>
      </c>
      <c r="G24" s="13" t="inlineStr">
        <is>
          <t>本部長の社宅賃料・出張費が実態損益で削除されています。7店舗を統括されている方が承継対象外ということでしょうか。承継後の運営体制をご説明ください。</t>
        </is>
      </c>
      <c r="H24" s="13" t="inlineStr">
        <is>
          <t>No.12 が×〜△の主因。統括者不在で7店舗が回るのか</t>
        </is>
      </c>
      <c r="I24" s="27" t="inlineStr">
        <is>
          <t>12</t>
        </is>
      </c>
      <c r="J24" s="27" t="inlineStr">
        <is>
          <t>必須</t>
        </is>
      </c>
      <c r="K24" s="22" t="n"/>
      <c r="L24" s="20" t="n"/>
      <c r="M24" s="22" t="n"/>
      <c r="N24" s="20" t="n"/>
      <c r="O24" s="27" t="inlineStr">
        <is>
          <t>未質問</t>
        </is>
      </c>
    </row>
    <row r="25" ht="44" customHeight="1">
      <c r="A25" s="27" t="n">
        <v>3</v>
      </c>
      <c r="B25" s="17">
        <f>IF($A25="","",IFERROR(INDEX(案件管理!$B:$B,MATCH($A25,案件管理!$A:$A,0)),""))</f>
        <v/>
      </c>
      <c r="C25" s="17">
        <f>IF($A25="","",IFERROR(INDEX(案件管理!$AE:$AE,MATCH($A25,案件管理!$A:$A,0)),""))</f>
        <v/>
      </c>
      <c r="D25" s="17">
        <f>IF($A25="","",IFERROR(INDEX(案件管理!$AF:$AF,MATCH($A25,案件管理!$A:$A,0)),""))</f>
        <v/>
      </c>
      <c r="E25" s="27" t="n">
        <v>9</v>
      </c>
      <c r="F25" s="12" t="inlineStr">
        <is>
          <t>人材・組織</t>
        </is>
      </c>
      <c r="G25" s="13" t="inlineStr">
        <is>
          <t>奥山代表は株式会社OWN代表を兼務されていますが、譲渡後の関与意向（引継ぎ期間・顧問就任）をご教示ください。</t>
        </is>
      </c>
      <c r="H25" s="13" t="inlineStr">
        <is>
          <t>代表がOWN側に残る前提なら引継ぎ体制が論点</t>
        </is>
      </c>
      <c r="I25" s="27" t="inlineStr">
        <is>
          <t>12 / 9</t>
        </is>
      </c>
      <c r="J25" s="27" t="inlineStr">
        <is>
          <t>重要</t>
        </is>
      </c>
      <c r="K25" s="22" t="n"/>
      <c r="L25" s="20" t="n"/>
      <c r="M25" s="22" t="n"/>
      <c r="N25" s="20" t="n"/>
      <c r="O25" s="27" t="inlineStr">
        <is>
          <t>未質問</t>
        </is>
      </c>
    </row>
    <row r="26" ht="44" customHeight="1">
      <c r="A26" s="27" t="n">
        <v>3</v>
      </c>
      <c r="B26" s="17">
        <f>IF($A26="","",IFERROR(INDEX(案件管理!$B:$B,MATCH($A26,案件管理!$A:$A,0)),""))</f>
        <v/>
      </c>
      <c r="C26" s="17">
        <f>IF($A26="","",IFERROR(INDEX(案件管理!$AE:$AE,MATCH($A26,案件管理!$A:$A,0)),""))</f>
        <v/>
      </c>
      <c r="D26" s="17">
        <f>IF($A26="","",IFERROR(INDEX(案件管理!$AF:$AF,MATCH($A26,案件管理!$A:$A,0)),""))</f>
        <v/>
      </c>
      <c r="E26" s="27" t="n">
        <v>10</v>
      </c>
      <c r="F26" s="12" t="inlineStr">
        <is>
          <t>取引先・依存</t>
        </is>
      </c>
      <c r="G26" s="13" t="inlineStr">
        <is>
          <t>ブリーダーごとの取引額（上位5社）をご開示ください。「既存取引先（ブリーダー）との取引継続」が条件のため、供給の集中度を確認したいです。</t>
        </is>
      </c>
      <c r="H26" s="13" t="inlineStr">
        <is>
          <t>No.11 が－。犬の供給が特定先に依存していないか</t>
        </is>
      </c>
      <c r="I26" s="27" t="inlineStr">
        <is>
          <t>11</t>
        </is>
      </c>
      <c r="J26" s="27" t="inlineStr">
        <is>
          <t>必須</t>
        </is>
      </c>
      <c r="K26" s="22" t="n"/>
      <c r="L26" s="20" t="n"/>
      <c r="M26" s="22" t="n"/>
      <c r="N26" s="20" t="n"/>
      <c r="O26" s="27" t="inlineStr">
        <is>
          <t>未質問</t>
        </is>
      </c>
    </row>
    <row r="27" ht="44" customHeight="1">
      <c r="A27" s="27" t="n">
        <v>3</v>
      </c>
      <c r="B27" s="17">
        <f>IF($A27="","",IFERROR(INDEX(案件管理!$B:$B,MATCH($A27,案件管理!$A:$A,0)),""))</f>
        <v/>
      </c>
      <c r="C27" s="17">
        <f>IF($A27="","",IFERROR(INDEX(案件管理!$AE:$AE,MATCH($A27,案件管理!$A:$A,0)),""))</f>
        <v/>
      </c>
      <c r="D27" s="17">
        <f>IF($A27="","",IFERROR(INDEX(案件管理!$AF:$AF,MATCH($A27,案件管理!$A:$A,0)),""))</f>
        <v/>
      </c>
      <c r="E27" s="27" t="n">
        <v>11</v>
      </c>
      <c r="F27" s="12" t="inlineStr">
        <is>
          <t>財務・実態損益</t>
        </is>
      </c>
      <c r="G27" s="13" t="inlineStr">
        <is>
          <t>tsudowコンサルティングへの支払手数料12,045千円が「譲渡後不要」として削除されていますが、どのような業務を委託されていたのでしょうか。</t>
        </is>
      </c>
      <c r="H27" s="13" t="inlineStr">
        <is>
          <t>売上比2.8%。集客や運営の外部依存なら削除は過大で修正後EBITDAが下がる</t>
        </is>
      </c>
      <c r="I27" s="27" t="inlineStr">
        <is>
          <t>5 / 12</t>
        </is>
      </c>
      <c r="J27" s="27" t="inlineStr">
        <is>
          <t>重要</t>
        </is>
      </c>
      <c r="K27" s="22" t="n"/>
      <c r="L27" s="20" t="n"/>
      <c r="M27" s="22" t="n"/>
      <c r="N27" s="20" t="n"/>
      <c r="O27" s="27" t="inlineStr">
        <is>
          <t>未質問</t>
        </is>
      </c>
    </row>
    <row r="28" ht="44" customHeight="1">
      <c r="A28" s="27" t="n">
        <v>3</v>
      </c>
      <c r="B28" s="17">
        <f>IF($A28="","",IFERROR(INDEX(案件管理!$B:$B,MATCH($A28,案件管理!$A:$A,0)),""))</f>
        <v/>
      </c>
      <c r="C28" s="17">
        <f>IF($A28="","",IFERROR(INDEX(案件管理!$AE:$AE,MATCH($A28,案件管理!$A:$A,0)),""))</f>
        <v/>
      </c>
      <c r="D28" s="17">
        <f>IF($A28="","",IFERROR(INDEX(案件管理!$AF:$AF,MATCH($A28,案件管理!$A:$A,0)),""))</f>
        <v/>
      </c>
      <c r="E28" s="27" t="n">
        <v>12</v>
      </c>
      <c r="F28" s="12" t="inlineStr">
        <is>
          <t>BS・運転資本</t>
        </is>
      </c>
      <c r="G28" s="13" t="inlineStr">
        <is>
          <t>関連会社OWNからの短期借入40,281千円は「譲渡日までの事業キャッシュフロー及び現預金を原資として返済予定」とありますが、返済後の手元資金はゼロになる想定でしょうか。引継ぎ直後の運転資金の手当てもご教示ください。</t>
        </is>
      </c>
      <c r="H28" s="13" t="inlineStr">
        <is>
          <t>修正後BSは現金0・借入0。引継ぎ直後の資金繰り</t>
        </is>
      </c>
      <c r="I28" s="27" t="inlineStr">
        <is>
          <t>5 / 1-2</t>
        </is>
      </c>
      <c r="J28" s="27" t="inlineStr">
        <is>
          <t>重要</t>
        </is>
      </c>
      <c r="K28" s="22" t="n"/>
      <c r="L28" s="20" t="n"/>
      <c r="M28" s="22" t="n"/>
      <c r="N28" s="20" t="n"/>
      <c r="O28" s="27" t="inlineStr">
        <is>
          <t>未質問</t>
        </is>
      </c>
    </row>
    <row r="29" ht="44" customHeight="1">
      <c r="A29" s="27" t="n">
        <v>3</v>
      </c>
      <c r="B29" s="17">
        <f>IF($A29="","",IFERROR(INDEX(案件管理!$B:$B,MATCH($A29,案件管理!$A:$A,0)),""))</f>
        <v/>
      </c>
      <c r="C29" s="17">
        <f>IF($A29="","",IFERROR(INDEX(案件管理!$AE:$AE,MATCH($A29,案件管理!$A:$A,0)),""))</f>
        <v/>
      </c>
      <c r="D29" s="17">
        <f>IF($A29="","",IFERROR(INDEX(案件管理!$AF:$AF,MATCH($A29,案件管理!$A:$A,0)),""))</f>
        <v/>
      </c>
      <c r="E29" s="27" t="n">
        <v>13</v>
      </c>
      <c r="F29" s="12" t="inlineStr">
        <is>
          <t>売却理由・売主</t>
        </is>
      </c>
      <c r="G29" s="13" t="inlineStr">
        <is>
          <t>設立2年でEBITDA1.85億円の事業を譲渡される背景を、もう少し具体的にお聞かせください。OWNグループの飲食本業との関係も含めてお願いします。</t>
        </is>
      </c>
      <c r="H29" s="13" t="inlineStr">
        <is>
          <t>No.9 が×〜△。自ら「赤字になりにくい」と書いた高収益事業を2年で手放す理由</t>
        </is>
      </c>
      <c r="I29" s="27" t="inlineStr">
        <is>
          <t>9</t>
        </is>
      </c>
      <c r="J29" s="27" t="inlineStr">
        <is>
          <t>必須</t>
        </is>
      </c>
      <c r="K29" s="22" t="n"/>
      <c r="L29" s="20" t="n"/>
      <c r="M29" s="22" t="n"/>
      <c r="N29" s="20" t="n"/>
      <c r="O29" s="27" t="inlineStr">
        <is>
          <t>未質問</t>
        </is>
      </c>
    </row>
    <row r="30" ht="44" customHeight="1">
      <c r="A30" s="27" t="n">
        <v>3</v>
      </c>
      <c r="B30" s="17">
        <f>IF($A30="","",IFERROR(INDEX(案件管理!$B:$B,MATCH($A30,案件管理!$A:$A,0)),""))</f>
        <v/>
      </c>
      <c r="C30" s="17">
        <f>IF($A30="","",IFERROR(INDEX(案件管理!$AE:$AE,MATCH($A30,案件管理!$A:$A,0)),""))</f>
        <v/>
      </c>
      <c r="D30" s="17">
        <f>IF($A30="","",IFERROR(INDEX(案件管理!$AF:$AF,MATCH($A30,案件管理!$A:$A,0)),""))</f>
        <v/>
      </c>
      <c r="E30" s="27" t="n">
        <v>14</v>
      </c>
      <c r="F30" s="12" t="inlineStr">
        <is>
          <t>法務・許認可</t>
        </is>
      </c>
      <c r="G30" s="13" t="inlineStr">
        <is>
          <t>第一種動物取扱業の登録状況（店舗別の登録番号・有効期限）と、株式譲渡に伴う手続をご教示ください。動物愛護管理法の飼養管理基準の強化による影響についても売主様のご認識を伺えますか。</t>
        </is>
      </c>
      <c r="H30" s="13" t="inlineStr">
        <is>
          <t>許認可の承継。規制強化は No.4 の永続性に直結</t>
        </is>
      </c>
      <c r="I30" s="27" t="inlineStr">
        <is>
          <t>4</t>
        </is>
      </c>
      <c r="J30" s="27" t="inlineStr">
        <is>
          <t>必須</t>
        </is>
      </c>
      <c r="K30" s="22" t="n"/>
      <c r="L30" s="20" t="n"/>
      <c r="M30" s="22" t="n"/>
      <c r="N30" s="20" t="n"/>
      <c r="O30" s="27" t="inlineStr">
        <is>
          <t>未質問</t>
        </is>
      </c>
    </row>
    <row r="31" ht="44" customHeight="1">
      <c r="A31" s="27" t="n">
        <v>3</v>
      </c>
      <c r="B31" s="17">
        <f>IF($A31="","",IFERROR(INDEX(案件管理!$B:$B,MATCH($A31,案件管理!$A:$A,0)),""))</f>
        <v/>
      </c>
      <c r="C31" s="17">
        <f>IF($A31="","",IFERROR(INDEX(案件管理!$AE:$AE,MATCH($A31,案件管理!$A:$A,0)),""))</f>
        <v/>
      </c>
      <c r="D31" s="17">
        <f>IF($A31="","",IFERROR(INDEX(案件管理!$AF:$AF,MATCH($A31,案件管理!$A:$A,0)),""))</f>
        <v/>
      </c>
      <c r="E31" s="27" t="n">
        <v>15</v>
      </c>
      <c r="F31" s="12" t="inlineStr">
        <is>
          <t>事業所・不動産</t>
        </is>
      </c>
      <c r="G31" s="13" t="inlineStr">
        <is>
          <t>7店舗の賃貸借契約について、残存期間・更新条件・チェンジオブコントロール条項の有無をご開示ください。</t>
        </is>
      </c>
      <c r="H31" s="13" t="inlineStr">
        <is>
          <t>好立地前提の事業。賃貸借が承継できなければ成立しない</t>
        </is>
      </c>
      <c r="I31" s="27" t="inlineStr">
        <is>
          <t>1-1 / 4</t>
        </is>
      </c>
      <c r="J31" s="27" t="inlineStr">
        <is>
          <t>必須</t>
        </is>
      </c>
      <c r="K31" s="22" t="n"/>
      <c r="L31" s="20" t="n"/>
      <c r="M31" s="22" t="n"/>
      <c r="N31" s="20" t="n"/>
      <c r="O31" s="27" t="inlineStr">
        <is>
          <t>未質問</t>
        </is>
      </c>
    </row>
    <row r="32">
      <c r="A32" s="28" t="n"/>
      <c r="B32" s="17">
        <f>IF($A32="","",IFERROR(INDEX(案件管理!$B:$B,MATCH($A32,案件管理!$A:$A,0)),""))</f>
        <v/>
      </c>
      <c r="C32" s="17">
        <f>IF($A32="","",IFERROR(INDEX(案件管理!$AE:$AE,MATCH($A32,案件管理!$A:$A,0)),""))</f>
        <v/>
      </c>
      <c r="D32" s="17">
        <f>IF($A32="","",IFERROR(INDEX(案件管理!$AF:$AF,MATCH($A32,案件管理!$A:$A,0)),""))</f>
        <v/>
      </c>
      <c r="E32" s="28" t="n"/>
      <c r="F32" s="23" t="n"/>
      <c r="G32" s="20" t="n"/>
      <c r="H32" s="20" t="n"/>
      <c r="I32" s="28" t="n"/>
      <c r="J32" s="28" t="n"/>
      <c r="K32" s="22" t="n"/>
      <c r="L32" s="20" t="n"/>
      <c r="M32" s="22" t="n"/>
      <c r="N32" s="20" t="n"/>
      <c r="O32" s="28" t="n"/>
    </row>
    <row r="33">
      <c r="A33" s="28" t="n"/>
      <c r="B33" s="17">
        <f>IF($A33="","",IFERROR(INDEX(案件管理!$B:$B,MATCH($A33,案件管理!$A:$A,0)),""))</f>
        <v/>
      </c>
      <c r="C33" s="17">
        <f>IF($A33="","",IFERROR(INDEX(案件管理!$AE:$AE,MATCH($A33,案件管理!$A:$A,0)),""))</f>
        <v/>
      </c>
      <c r="D33" s="17">
        <f>IF($A33="","",IFERROR(INDEX(案件管理!$AF:$AF,MATCH($A33,案件管理!$A:$A,0)),""))</f>
        <v/>
      </c>
      <c r="E33" s="28" t="n"/>
      <c r="F33" s="23" t="n"/>
      <c r="G33" s="20" t="n"/>
      <c r="H33" s="20" t="n"/>
      <c r="I33" s="28" t="n"/>
      <c r="J33" s="28" t="n"/>
      <c r="K33" s="22" t="n"/>
      <c r="L33" s="20" t="n"/>
      <c r="M33" s="22" t="n"/>
      <c r="N33" s="20" t="n"/>
      <c r="O33" s="28" t="n"/>
    </row>
    <row r="34">
      <c r="A34" s="28" t="n"/>
      <c r="B34" s="17">
        <f>IF($A34="","",IFERROR(INDEX(案件管理!$B:$B,MATCH($A34,案件管理!$A:$A,0)),""))</f>
        <v/>
      </c>
      <c r="C34" s="17">
        <f>IF($A34="","",IFERROR(INDEX(案件管理!$AE:$AE,MATCH($A34,案件管理!$A:$A,0)),""))</f>
        <v/>
      </c>
      <c r="D34" s="17">
        <f>IF($A34="","",IFERROR(INDEX(案件管理!$AF:$AF,MATCH($A34,案件管理!$A:$A,0)),""))</f>
        <v/>
      </c>
      <c r="E34" s="28" t="n"/>
      <c r="F34" s="23" t="n"/>
      <c r="G34" s="20" t="n"/>
      <c r="H34" s="20" t="n"/>
      <c r="I34" s="28" t="n"/>
      <c r="J34" s="28" t="n"/>
      <c r="K34" s="22" t="n"/>
      <c r="L34" s="20" t="n"/>
      <c r="M34" s="22" t="n"/>
      <c r="N34" s="20" t="n"/>
      <c r="O34" s="28" t="n"/>
    </row>
    <row r="35">
      <c r="A35" s="28" t="n"/>
      <c r="B35" s="17">
        <f>IF($A35="","",IFERROR(INDEX(案件管理!$B:$B,MATCH($A35,案件管理!$A:$A,0)),""))</f>
        <v/>
      </c>
      <c r="C35" s="17">
        <f>IF($A35="","",IFERROR(INDEX(案件管理!$AE:$AE,MATCH($A35,案件管理!$A:$A,0)),""))</f>
        <v/>
      </c>
      <c r="D35" s="17">
        <f>IF($A35="","",IFERROR(INDEX(案件管理!$AF:$AF,MATCH($A35,案件管理!$A:$A,0)),""))</f>
        <v/>
      </c>
      <c r="E35" s="28" t="n"/>
      <c r="F35" s="23" t="n"/>
      <c r="G35" s="20" t="n"/>
      <c r="H35" s="20" t="n"/>
      <c r="I35" s="28" t="n"/>
      <c r="J35" s="28" t="n"/>
      <c r="K35" s="22" t="n"/>
      <c r="L35" s="20" t="n"/>
      <c r="M35" s="22" t="n"/>
      <c r="N35" s="20" t="n"/>
      <c r="O35" s="28" t="n"/>
    </row>
    <row r="36">
      <c r="A36" s="28" t="n"/>
      <c r="B36" s="17">
        <f>IF($A36="","",IFERROR(INDEX(案件管理!$B:$B,MATCH($A36,案件管理!$A:$A,0)),""))</f>
        <v/>
      </c>
      <c r="C36" s="17">
        <f>IF($A36="","",IFERROR(INDEX(案件管理!$AE:$AE,MATCH($A36,案件管理!$A:$A,0)),""))</f>
        <v/>
      </c>
      <c r="D36" s="17">
        <f>IF($A36="","",IFERROR(INDEX(案件管理!$AF:$AF,MATCH($A36,案件管理!$A:$A,0)),""))</f>
        <v/>
      </c>
      <c r="E36" s="28" t="n"/>
      <c r="F36" s="23" t="n"/>
      <c r="G36" s="20" t="n"/>
      <c r="H36" s="20" t="n"/>
      <c r="I36" s="28" t="n"/>
      <c r="J36" s="28" t="n"/>
      <c r="K36" s="22" t="n"/>
      <c r="L36" s="20" t="n"/>
      <c r="M36" s="22" t="n"/>
      <c r="N36" s="20" t="n"/>
      <c r="O36" s="28" t="n"/>
    </row>
    <row r="37">
      <c r="A37" s="28" t="n"/>
      <c r="B37" s="17">
        <f>IF($A37="","",IFERROR(INDEX(案件管理!$B:$B,MATCH($A37,案件管理!$A:$A,0)),""))</f>
        <v/>
      </c>
      <c r="C37" s="17">
        <f>IF($A37="","",IFERROR(INDEX(案件管理!$AE:$AE,MATCH($A37,案件管理!$A:$A,0)),""))</f>
        <v/>
      </c>
      <c r="D37" s="17">
        <f>IF($A37="","",IFERROR(INDEX(案件管理!$AF:$AF,MATCH($A37,案件管理!$A:$A,0)),""))</f>
        <v/>
      </c>
      <c r="E37" s="28" t="n"/>
      <c r="F37" s="23" t="n"/>
      <c r="G37" s="20" t="n"/>
      <c r="H37" s="20" t="n"/>
      <c r="I37" s="28" t="n"/>
      <c r="J37" s="28" t="n"/>
      <c r="K37" s="22" t="n"/>
      <c r="L37" s="20" t="n"/>
      <c r="M37" s="22" t="n"/>
      <c r="N37" s="20" t="n"/>
      <c r="O37" s="28" t="n"/>
    </row>
    <row r="38">
      <c r="A38" s="28" t="n"/>
      <c r="B38" s="17">
        <f>IF($A38="","",IFERROR(INDEX(案件管理!$B:$B,MATCH($A38,案件管理!$A:$A,0)),""))</f>
        <v/>
      </c>
      <c r="C38" s="17">
        <f>IF($A38="","",IFERROR(INDEX(案件管理!$AE:$AE,MATCH($A38,案件管理!$A:$A,0)),""))</f>
        <v/>
      </c>
      <c r="D38" s="17">
        <f>IF($A38="","",IFERROR(INDEX(案件管理!$AF:$AF,MATCH($A38,案件管理!$A:$A,0)),""))</f>
        <v/>
      </c>
      <c r="E38" s="28" t="n"/>
      <c r="F38" s="23" t="n"/>
      <c r="G38" s="20" t="n"/>
      <c r="H38" s="20" t="n"/>
      <c r="I38" s="28" t="n"/>
      <c r="J38" s="28" t="n"/>
      <c r="K38" s="22" t="n"/>
      <c r="L38" s="20" t="n"/>
      <c r="M38" s="22" t="n"/>
      <c r="N38" s="20" t="n"/>
      <c r="O38" s="28" t="n"/>
    </row>
    <row r="39">
      <c r="A39" s="28" t="n"/>
      <c r="B39" s="17">
        <f>IF($A39="","",IFERROR(INDEX(案件管理!$B:$B,MATCH($A39,案件管理!$A:$A,0)),""))</f>
        <v/>
      </c>
      <c r="C39" s="17">
        <f>IF($A39="","",IFERROR(INDEX(案件管理!$AE:$AE,MATCH($A39,案件管理!$A:$A,0)),""))</f>
        <v/>
      </c>
      <c r="D39" s="17">
        <f>IF($A39="","",IFERROR(INDEX(案件管理!$AF:$AF,MATCH($A39,案件管理!$A:$A,0)),""))</f>
        <v/>
      </c>
      <c r="E39" s="28" t="n"/>
      <c r="F39" s="23" t="n"/>
      <c r="G39" s="20" t="n"/>
      <c r="H39" s="20" t="n"/>
      <c r="I39" s="28" t="n"/>
      <c r="J39" s="28" t="n"/>
      <c r="K39" s="22" t="n"/>
      <c r="L39" s="20" t="n"/>
      <c r="M39" s="22" t="n"/>
      <c r="N39" s="20" t="n"/>
      <c r="O39" s="28" t="n"/>
    </row>
    <row r="40">
      <c r="A40" s="28" t="n"/>
      <c r="B40" s="17">
        <f>IF($A40="","",IFERROR(INDEX(案件管理!$B:$B,MATCH($A40,案件管理!$A:$A,0)),""))</f>
        <v/>
      </c>
      <c r="C40" s="17">
        <f>IF($A40="","",IFERROR(INDEX(案件管理!$AE:$AE,MATCH($A40,案件管理!$A:$A,0)),""))</f>
        <v/>
      </c>
      <c r="D40" s="17">
        <f>IF($A40="","",IFERROR(INDEX(案件管理!$AF:$AF,MATCH($A40,案件管理!$A:$A,0)),""))</f>
        <v/>
      </c>
      <c r="E40" s="28" t="n"/>
      <c r="F40" s="23" t="n"/>
      <c r="G40" s="20" t="n"/>
      <c r="H40" s="20" t="n"/>
      <c r="I40" s="28" t="n"/>
      <c r="J40" s="28" t="n"/>
      <c r="K40" s="22" t="n"/>
      <c r="L40" s="20" t="n"/>
      <c r="M40" s="22" t="n"/>
      <c r="N40" s="20" t="n"/>
      <c r="O40" s="28" t="n"/>
    </row>
    <row r="41">
      <c r="A41" s="28" t="n"/>
      <c r="B41" s="17">
        <f>IF($A41="","",IFERROR(INDEX(案件管理!$B:$B,MATCH($A41,案件管理!$A:$A,0)),""))</f>
        <v/>
      </c>
      <c r="C41" s="17">
        <f>IF($A41="","",IFERROR(INDEX(案件管理!$AE:$AE,MATCH($A41,案件管理!$A:$A,0)),""))</f>
        <v/>
      </c>
      <c r="D41" s="17">
        <f>IF($A41="","",IFERROR(INDEX(案件管理!$AF:$AF,MATCH($A41,案件管理!$A:$A,0)),""))</f>
        <v/>
      </c>
      <c r="E41" s="28" t="n"/>
      <c r="F41" s="23" t="n"/>
      <c r="G41" s="20" t="n"/>
      <c r="H41" s="20" t="n"/>
      <c r="I41" s="28" t="n"/>
      <c r="J41" s="28" t="n"/>
      <c r="K41" s="22" t="n"/>
      <c r="L41" s="20" t="n"/>
      <c r="M41" s="22" t="n"/>
      <c r="N41" s="20" t="n"/>
      <c r="O41" s="28" t="n"/>
    </row>
    <row r="42">
      <c r="A42" s="28" t="n"/>
      <c r="B42" s="17">
        <f>IF($A42="","",IFERROR(INDEX(案件管理!$B:$B,MATCH($A42,案件管理!$A:$A,0)),""))</f>
        <v/>
      </c>
      <c r="C42" s="17">
        <f>IF($A42="","",IFERROR(INDEX(案件管理!$AE:$AE,MATCH($A42,案件管理!$A:$A,0)),""))</f>
        <v/>
      </c>
      <c r="D42" s="17">
        <f>IF($A42="","",IFERROR(INDEX(案件管理!$AF:$AF,MATCH($A42,案件管理!$A:$A,0)),""))</f>
        <v/>
      </c>
      <c r="E42" s="28" t="n"/>
      <c r="F42" s="23" t="n"/>
      <c r="G42" s="20" t="n"/>
      <c r="H42" s="20" t="n"/>
      <c r="I42" s="28" t="n"/>
      <c r="J42" s="28" t="n"/>
      <c r="K42" s="22" t="n"/>
      <c r="L42" s="20" t="n"/>
      <c r="M42" s="22" t="n"/>
      <c r="N42" s="20" t="n"/>
      <c r="O42" s="28" t="n"/>
    </row>
    <row r="43">
      <c r="A43" s="28" t="n"/>
      <c r="B43" s="17">
        <f>IF($A43="","",IFERROR(INDEX(案件管理!$B:$B,MATCH($A43,案件管理!$A:$A,0)),""))</f>
        <v/>
      </c>
      <c r="C43" s="17">
        <f>IF($A43="","",IFERROR(INDEX(案件管理!$AE:$AE,MATCH($A43,案件管理!$A:$A,0)),""))</f>
        <v/>
      </c>
      <c r="D43" s="17">
        <f>IF($A43="","",IFERROR(INDEX(案件管理!$AF:$AF,MATCH($A43,案件管理!$A:$A,0)),""))</f>
        <v/>
      </c>
      <c r="E43" s="28" t="n"/>
      <c r="F43" s="23" t="n"/>
      <c r="G43" s="20" t="n"/>
      <c r="H43" s="20" t="n"/>
      <c r="I43" s="28" t="n"/>
      <c r="J43" s="28" t="n"/>
      <c r="K43" s="22" t="n"/>
      <c r="L43" s="20" t="n"/>
      <c r="M43" s="22" t="n"/>
      <c r="N43" s="20" t="n"/>
      <c r="O43" s="28" t="n"/>
    </row>
    <row r="44">
      <c r="A44" s="28" t="n"/>
      <c r="B44" s="17">
        <f>IF($A44="","",IFERROR(INDEX(案件管理!$B:$B,MATCH($A44,案件管理!$A:$A,0)),""))</f>
        <v/>
      </c>
      <c r="C44" s="17">
        <f>IF($A44="","",IFERROR(INDEX(案件管理!$AE:$AE,MATCH($A44,案件管理!$A:$A,0)),""))</f>
        <v/>
      </c>
      <c r="D44" s="17">
        <f>IF($A44="","",IFERROR(INDEX(案件管理!$AF:$AF,MATCH($A44,案件管理!$A:$A,0)),""))</f>
        <v/>
      </c>
      <c r="E44" s="28" t="n"/>
      <c r="F44" s="23" t="n"/>
      <c r="G44" s="20" t="n"/>
      <c r="H44" s="20" t="n"/>
      <c r="I44" s="28" t="n"/>
      <c r="J44" s="28" t="n"/>
      <c r="K44" s="22" t="n"/>
      <c r="L44" s="20" t="n"/>
      <c r="M44" s="22" t="n"/>
      <c r="N44" s="20" t="n"/>
      <c r="O44" s="28" t="n"/>
    </row>
    <row r="45">
      <c r="A45" s="28" t="n"/>
      <c r="B45" s="17">
        <f>IF($A45="","",IFERROR(INDEX(案件管理!$B:$B,MATCH($A45,案件管理!$A:$A,0)),""))</f>
        <v/>
      </c>
      <c r="C45" s="17">
        <f>IF($A45="","",IFERROR(INDEX(案件管理!$AE:$AE,MATCH($A45,案件管理!$A:$A,0)),""))</f>
        <v/>
      </c>
      <c r="D45" s="17">
        <f>IF($A45="","",IFERROR(INDEX(案件管理!$AF:$AF,MATCH($A45,案件管理!$A:$A,0)),""))</f>
        <v/>
      </c>
      <c r="E45" s="28" t="n"/>
      <c r="F45" s="23" t="n"/>
      <c r="G45" s="20" t="n"/>
      <c r="H45" s="20" t="n"/>
      <c r="I45" s="28" t="n"/>
      <c r="J45" s="28" t="n"/>
      <c r="K45" s="22" t="n"/>
      <c r="L45" s="20" t="n"/>
      <c r="M45" s="22" t="n"/>
      <c r="N45" s="20" t="n"/>
      <c r="O45" s="28" t="n"/>
    </row>
    <row r="46">
      <c r="A46" s="28" t="n"/>
      <c r="B46" s="17">
        <f>IF($A46="","",IFERROR(INDEX(案件管理!$B:$B,MATCH($A46,案件管理!$A:$A,0)),""))</f>
        <v/>
      </c>
      <c r="C46" s="17">
        <f>IF($A46="","",IFERROR(INDEX(案件管理!$AE:$AE,MATCH($A46,案件管理!$A:$A,0)),""))</f>
        <v/>
      </c>
      <c r="D46" s="17">
        <f>IF($A46="","",IFERROR(INDEX(案件管理!$AF:$AF,MATCH($A46,案件管理!$A:$A,0)),""))</f>
        <v/>
      </c>
      <c r="E46" s="28" t="n"/>
      <c r="F46" s="23" t="n"/>
      <c r="G46" s="20" t="n"/>
      <c r="H46" s="20" t="n"/>
      <c r="I46" s="28" t="n"/>
      <c r="J46" s="28" t="n"/>
      <c r="K46" s="22" t="n"/>
      <c r="L46" s="20" t="n"/>
      <c r="M46" s="22" t="n"/>
      <c r="N46" s="20" t="n"/>
      <c r="O46" s="28" t="n"/>
    </row>
    <row r="47">
      <c r="A47" s="28" t="n"/>
      <c r="B47" s="17">
        <f>IF($A47="","",IFERROR(INDEX(案件管理!$B:$B,MATCH($A47,案件管理!$A:$A,0)),""))</f>
        <v/>
      </c>
      <c r="C47" s="17">
        <f>IF($A47="","",IFERROR(INDEX(案件管理!$AE:$AE,MATCH($A47,案件管理!$A:$A,0)),""))</f>
        <v/>
      </c>
      <c r="D47" s="17">
        <f>IF($A47="","",IFERROR(INDEX(案件管理!$AF:$AF,MATCH($A47,案件管理!$A:$A,0)),""))</f>
        <v/>
      </c>
      <c r="E47" s="28" t="n"/>
      <c r="F47" s="23" t="n"/>
      <c r="G47" s="20" t="n"/>
      <c r="H47" s="20" t="n"/>
      <c r="I47" s="28" t="n"/>
      <c r="J47" s="28" t="n"/>
      <c r="K47" s="22" t="n"/>
      <c r="L47" s="20" t="n"/>
      <c r="M47" s="22" t="n"/>
      <c r="N47" s="20" t="n"/>
      <c r="O47" s="28" t="n"/>
    </row>
    <row r="48">
      <c r="A48" s="28" t="n"/>
      <c r="B48" s="17">
        <f>IF($A48="","",IFERROR(INDEX(案件管理!$B:$B,MATCH($A48,案件管理!$A:$A,0)),""))</f>
        <v/>
      </c>
      <c r="C48" s="17">
        <f>IF($A48="","",IFERROR(INDEX(案件管理!$AE:$AE,MATCH($A48,案件管理!$A:$A,0)),""))</f>
        <v/>
      </c>
      <c r="D48" s="17">
        <f>IF($A48="","",IFERROR(INDEX(案件管理!$AF:$AF,MATCH($A48,案件管理!$A:$A,0)),""))</f>
        <v/>
      </c>
      <c r="E48" s="28" t="n"/>
      <c r="F48" s="23" t="n"/>
      <c r="G48" s="20" t="n"/>
      <c r="H48" s="20" t="n"/>
      <c r="I48" s="28" t="n"/>
      <c r="J48" s="28" t="n"/>
      <c r="K48" s="22" t="n"/>
      <c r="L48" s="20" t="n"/>
      <c r="M48" s="22" t="n"/>
      <c r="N48" s="20" t="n"/>
      <c r="O48" s="28" t="n"/>
    </row>
    <row r="49">
      <c r="A49" s="28" t="n"/>
      <c r="B49" s="17">
        <f>IF($A49="","",IFERROR(INDEX(案件管理!$B:$B,MATCH($A49,案件管理!$A:$A,0)),""))</f>
        <v/>
      </c>
      <c r="C49" s="17">
        <f>IF($A49="","",IFERROR(INDEX(案件管理!$AE:$AE,MATCH($A49,案件管理!$A:$A,0)),""))</f>
        <v/>
      </c>
      <c r="D49" s="17">
        <f>IF($A49="","",IFERROR(INDEX(案件管理!$AF:$AF,MATCH($A49,案件管理!$A:$A,0)),""))</f>
        <v/>
      </c>
      <c r="E49" s="28" t="n"/>
      <c r="F49" s="23" t="n"/>
      <c r="G49" s="20" t="n"/>
      <c r="H49" s="20" t="n"/>
      <c r="I49" s="28" t="n"/>
      <c r="J49" s="28" t="n"/>
      <c r="K49" s="22" t="n"/>
      <c r="L49" s="20" t="n"/>
      <c r="M49" s="22" t="n"/>
      <c r="N49" s="20" t="n"/>
      <c r="O49" s="28" t="n"/>
    </row>
    <row r="50">
      <c r="A50" s="28" t="n"/>
      <c r="B50" s="17">
        <f>IF($A50="","",IFERROR(INDEX(案件管理!$B:$B,MATCH($A50,案件管理!$A:$A,0)),""))</f>
        <v/>
      </c>
      <c r="C50" s="17">
        <f>IF($A50="","",IFERROR(INDEX(案件管理!$AE:$AE,MATCH($A50,案件管理!$A:$A,0)),""))</f>
        <v/>
      </c>
      <c r="D50" s="17">
        <f>IF($A50="","",IFERROR(INDEX(案件管理!$AF:$AF,MATCH($A50,案件管理!$A:$A,0)),""))</f>
        <v/>
      </c>
      <c r="E50" s="28" t="n"/>
      <c r="F50" s="23" t="n"/>
      <c r="G50" s="20" t="n"/>
      <c r="H50" s="20" t="n"/>
      <c r="I50" s="28" t="n"/>
      <c r="J50" s="28" t="n"/>
      <c r="K50" s="22" t="n"/>
      <c r="L50" s="20" t="n"/>
      <c r="M50" s="22" t="n"/>
      <c r="N50" s="20" t="n"/>
      <c r="O50" s="28" t="n"/>
    </row>
    <row r="51">
      <c r="A51" s="28" t="n"/>
      <c r="B51" s="17">
        <f>IF($A51="","",IFERROR(INDEX(案件管理!$B:$B,MATCH($A51,案件管理!$A:$A,0)),""))</f>
        <v/>
      </c>
      <c r="C51" s="17">
        <f>IF($A51="","",IFERROR(INDEX(案件管理!$AE:$AE,MATCH($A51,案件管理!$A:$A,0)),""))</f>
        <v/>
      </c>
      <c r="D51" s="17">
        <f>IF($A51="","",IFERROR(INDEX(案件管理!$AF:$AF,MATCH($A51,案件管理!$A:$A,0)),""))</f>
        <v/>
      </c>
      <c r="E51" s="28" t="n"/>
      <c r="F51" s="23" t="n"/>
      <c r="G51" s="20" t="n"/>
      <c r="H51" s="20" t="n"/>
      <c r="I51" s="28" t="n"/>
      <c r="J51" s="28" t="n"/>
      <c r="K51" s="22" t="n"/>
      <c r="L51" s="20" t="n"/>
      <c r="M51" s="22" t="n"/>
      <c r="N51" s="20" t="n"/>
      <c r="O51" s="28" t="n"/>
    </row>
    <row r="52">
      <c r="A52" s="28" t="n"/>
      <c r="B52" s="17">
        <f>IF($A52="","",IFERROR(INDEX(案件管理!$B:$B,MATCH($A52,案件管理!$A:$A,0)),""))</f>
        <v/>
      </c>
      <c r="C52" s="17">
        <f>IF($A52="","",IFERROR(INDEX(案件管理!$AE:$AE,MATCH($A52,案件管理!$A:$A,0)),""))</f>
        <v/>
      </c>
      <c r="D52" s="17">
        <f>IF($A52="","",IFERROR(INDEX(案件管理!$AF:$AF,MATCH($A52,案件管理!$A:$A,0)),""))</f>
        <v/>
      </c>
      <c r="E52" s="28" t="n"/>
      <c r="F52" s="23" t="n"/>
      <c r="G52" s="20" t="n"/>
      <c r="H52" s="20" t="n"/>
      <c r="I52" s="28" t="n"/>
      <c r="J52" s="28" t="n"/>
      <c r="K52" s="22" t="n"/>
      <c r="L52" s="20" t="n"/>
      <c r="M52" s="22" t="n"/>
      <c r="N52" s="20" t="n"/>
      <c r="O52" s="28" t="n"/>
    </row>
    <row r="53">
      <c r="A53" s="28" t="n"/>
      <c r="B53" s="17">
        <f>IF($A53="","",IFERROR(INDEX(案件管理!$B:$B,MATCH($A53,案件管理!$A:$A,0)),""))</f>
        <v/>
      </c>
      <c r="C53" s="17">
        <f>IF($A53="","",IFERROR(INDEX(案件管理!$AE:$AE,MATCH($A53,案件管理!$A:$A,0)),""))</f>
        <v/>
      </c>
      <c r="D53" s="17">
        <f>IF($A53="","",IFERROR(INDEX(案件管理!$AF:$AF,MATCH($A53,案件管理!$A:$A,0)),""))</f>
        <v/>
      </c>
      <c r="E53" s="28" t="n"/>
      <c r="F53" s="23" t="n"/>
      <c r="G53" s="20" t="n"/>
      <c r="H53" s="20" t="n"/>
      <c r="I53" s="28" t="n"/>
      <c r="J53" s="28" t="n"/>
      <c r="K53" s="22" t="n"/>
      <c r="L53" s="20" t="n"/>
      <c r="M53" s="22" t="n"/>
      <c r="N53" s="20" t="n"/>
      <c r="O53" s="28" t="n"/>
    </row>
    <row r="54">
      <c r="A54" s="28" t="n"/>
      <c r="B54" s="17">
        <f>IF($A54="","",IFERROR(INDEX(案件管理!$B:$B,MATCH($A54,案件管理!$A:$A,0)),""))</f>
        <v/>
      </c>
      <c r="C54" s="17">
        <f>IF($A54="","",IFERROR(INDEX(案件管理!$AE:$AE,MATCH($A54,案件管理!$A:$A,0)),""))</f>
        <v/>
      </c>
      <c r="D54" s="17">
        <f>IF($A54="","",IFERROR(INDEX(案件管理!$AF:$AF,MATCH($A54,案件管理!$A:$A,0)),""))</f>
        <v/>
      </c>
      <c r="E54" s="28" t="n"/>
      <c r="F54" s="23" t="n"/>
      <c r="G54" s="20" t="n"/>
      <c r="H54" s="20" t="n"/>
      <c r="I54" s="28" t="n"/>
      <c r="J54" s="28" t="n"/>
      <c r="K54" s="22" t="n"/>
      <c r="L54" s="20" t="n"/>
      <c r="M54" s="22" t="n"/>
      <c r="N54" s="20" t="n"/>
      <c r="O54" s="28" t="n"/>
    </row>
    <row r="55">
      <c r="A55" s="28" t="n"/>
      <c r="B55" s="17">
        <f>IF($A55="","",IFERROR(INDEX(案件管理!$B:$B,MATCH($A55,案件管理!$A:$A,0)),""))</f>
        <v/>
      </c>
      <c r="C55" s="17">
        <f>IF($A55="","",IFERROR(INDEX(案件管理!$AE:$AE,MATCH($A55,案件管理!$A:$A,0)),""))</f>
        <v/>
      </c>
      <c r="D55" s="17">
        <f>IF($A55="","",IFERROR(INDEX(案件管理!$AF:$AF,MATCH($A55,案件管理!$A:$A,0)),""))</f>
        <v/>
      </c>
      <c r="E55" s="28" t="n"/>
      <c r="F55" s="23" t="n"/>
      <c r="G55" s="20" t="n"/>
      <c r="H55" s="20" t="n"/>
      <c r="I55" s="28" t="n"/>
      <c r="J55" s="28" t="n"/>
      <c r="K55" s="22" t="n"/>
      <c r="L55" s="20" t="n"/>
      <c r="M55" s="22" t="n"/>
      <c r="N55" s="20" t="n"/>
      <c r="O55" s="28" t="n"/>
    </row>
    <row r="56">
      <c r="A56" s="28" t="n"/>
      <c r="B56" s="17">
        <f>IF($A56="","",IFERROR(INDEX(案件管理!$B:$B,MATCH($A56,案件管理!$A:$A,0)),""))</f>
        <v/>
      </c>
      <c r="C56" s="17">
        <f>IF($A56="","",IFERROR(INDEX(案件管理!$AE:$AE,MATCH($A56,案件管理!$A:$A,0)),""))</f>
        <v/>
      </c>
      <c r="D56" s="17">
        <f>IF($A56="","",IFERROR(INDEX(案件管理!$AF:$AF,MATCH($A56,案件管理!$A:$A,0)),""))</f>
        <v/>
      </c>
      <c r="E56" s="28" t="n"/>
      <c r="F56" s="23" t="n"/>
      <c r="G56" s="20" t="n"/>
      <c r="H56" s="20" t="n"/>
      <c r="I56" s="28" t="n"/>
      <c r="J56" s="28" t="n"/>
      <c r="K56" s="22" t="n"/>
      <c r="L56" s="20" t="n"/>
      <c r="M56" s="22" t="n"/>
      <c r="N56" s="20" t="n"/>
      <c r="O56" s="28" t="n"/>
    </row>
    <row r="57">
      <c r="A57" s="28" t="n"/>
      <c r="B57" s="17">
        <f>IF($A57="","",IFERROR(INDEX(案件管理!$B:$B,MATCH($A57,案件管理!$A:$A,0)),""))</f>
        <v/>
      </c>
      <c r="C57" s="17">
        <f>IF($A57="","",IFERROR(INDEX(案件管理!$AE:$AE,MATCH($A57,案件管理!$A:$A,0)),""))</f>
        <v/>
      </c>
      <c r="D57" s="17">
        <f>IF($A57="","",IFERROR(INDEX(案件管理!$AF:$AF,MATCH($A57,案件管理!$A:$A,0)),""))</f>
        <v/>
      </c>
      <c r="E57" s="28" t="n"/>
      <c r="F57" s="23" t="n"/>
      <c r="G57" s="20" t="n"/>
      <c r="H57" s="20" t="n"/>
      <c r="I57" s="28" t="n"/>
      <c r="J57" s="28" t="n"/>
      <c r="K57" s="22" t="n"/>
      <c r="L57" s="20" t="n"/>
      <c r="M57" s="22" t="n"/>
      <c r="N57" s="20" t="n"/>
      <c r="O57" s="28" t="n"/>
    </row>
    <row r="58">
      <c r="A58" s="28" t="n"/>
      <c r="B58" s="17">
        <f>IF($A58="","",IFERROR(INDEX(案件管理!$B:$B,MATCH($A58,案件管理!$A:$A,0)),""))</f>
        <v/>
      </c>
      <c r="C58" s="17">
        <f>IF($A58="","",IFERROR(INDEX(案件管理!$AE:$AE,MATCH($A58,案件管理!$A:$A,0)),""))</f>
        <v/>
      </c>
      <c r="D58" s="17">
        <f>IF($A58="","",IFERROR(INDEX(案件管理!$AF:$AF,MATCH($A58,案件管理!$A:$A,0)),""))</f>
        <v/>
      </c>
      <c r="E58" s="28" t="n"/>
      <c r="F58" s="23" t="n"/>
      <c r="G58" s="20" t="n"/>
      <c r="H58" s="20" t="n"/>
      <c r="I58" s="28" t="n"/>
      <c r="J58" s="28" t="n"/>
      <c r="K58" s="22" t="n"/>
      <c r="L58" s="20" t="n"/>
      <c r="M58" s="22" t="n"/>
      <c r="N58" s="20" t="n"/>
      <c r="O58" s="28" t="n"/>
    </row>
    <row r="59">
      <c r="A59" s="28" t="n"/>
      <c r="B59" s="17">
        <f>IF($A59="","",IFERROR(INDEX(案件管理!$B:$B,MATCH($A59,案件管理!$A:$A,0)),""))</f>
        <v/>
      </c>
      <c r="C59" s="17">
        <f>IF($A59="","",IFERROR(INDEX(案件管理!$AE:$AE,MATCH($A59,案件管理!$A:$A,0)),""))</f>
        <v/>
      </c>
      <c r="D59" s="17">
        <f>IF($A59="","",IFERROR(INDEX(案件管理!$AF:$AF,MATCH($A59,案件管理!$A:$A,0)),""))</f>
        <v/>
      </c>
      <c r="E59" s="28" t="n"/>
      <c r="F59" s="23" t="n"/>
      <c r="G59" s="20" t="n"/>
      <c r="H59" s="20" t="n"/>
      <c r="I59" s="28" t="n"/>
      <c r="J59" s="28" t="n"/>
      <c r="K59" s="22" t="n"/>
      <c r="L59" s="20" t="n"/>
      <c r="M59" s="22" t="n"/>
      <c r="N59" s="20" t="n"/>
      <c r="O59" s="28" t="n"/>
    </row>
    <row r="60">
      <c r="A60" s="28" t="n"/>
      <c r="B60" s="17">
        <f>IF($A60="","",IFERROR(INDEX(案件管理!$B:$B,MATCH($A60,案件管理!$A:$A,0)),""))</f>
        <v/>
      </c>
      <c r="C60" s="17">
        <f>IF($A60="","",IFERROR(INDEX(案件管理!$AE:$AE,MATCH($A60,案件管理!$A:$A,0)),""))</f>
        <v/>
      </c>
      <c r="D60" s="17">
        <f>IF($A60="","",IFERROR(INDEX(案件管理!$AF:$AF,MATCH($A60,案件管理!$A:$A,0)),""))</f>
        <v/>
      </c>
      <c r="E60" s="28" t="n"/>
      <c r="F60" s="23" t="n"/>
      <c r="G60" s="20" t="n"/>
      <c r="H60" s="20" t="n"/>
      <c r="I60" s="28" t="n"/>
      <c r="J60" s="28" t="n"/>
      <c r="K60" s="22" t="n"/>
      <c r="L60" s="20" t="n"/>
      <c r="M60" s="22" t="n"/>
      <c r="N60" s="20" t="n"/>
      <c r="O60" s="28" t="n"/>
    </row>
    <row r="61">
      <c r="A61" s="28" t="n"/>
      <c r="B61" s="17">
        <f>IF($A61="","",IFERROR(INDEX(案件管理!$B:$B,MATCH($A61,案件管理!$A:$A,0)),""))</f>
        <v/>
      </c>
      <c r="C61" s="17">
        <f>IF($A61="","",IFERROR(INDEX(案件管理!$AE:$AE,MATCH($A61,案件管理!$A:$A,0)),""))</f>
        <v/>
      </c>
      <c r="D61" s="17">
        <f>IF($A61="","",IFERROR(INDEX(案件管理!$AF:$AF,MATCH($A61,案件管理!$A:$A,0)),""))</f>
        <v/>
      </c>
      <c r="E61" s="28" t="n"/>
      <c r="F61" s="23" t="n"/>
      <c r="G61" s="20" t="n"/>
      <c r="H61" s="20" t="n"/>
      <c r="I61" s="28" t="n"/>
      <c r="J61" s="28" t="n"/>
      <c r="K61" s="22" t="n"/>
      <c r="L61" s="20" t="n"/>
      <c r="M61" s="22" t="n"/>
      <c r="N61" s="20" t="n"/>
      <c r="O61" s="28" t="n"/>
    </row>
    <row r="62">
      <c r="A62" s="28" t="n"/>
      <c r="B62" s="17">
        <f>IF($A62="","",IFERROR(INDEX(案件管理!$B:$B,MATCH($A62,案件管理!$A:$A,0)),""))</f>
        <v/>
      </c>
      <c r="C62" s="17">
        <f>IF($A62="","",IFERROR(INDEX(案件管理!$AE:$AE,MATCH($A62,案件管理!$A:$A,0)),""))</f>
        <v/>
      </c>
      <c r="D62" s="17">
        <f>IF($A62="","",IFERROR(INDEX(案件管理!$AF:$AF,MATCH($A62,案件管理!$A:$A,0)),""))</f>
        <v/>
      </c>
      <c r="E62" s="28" t="n"/>
      <c r="F62" s="23" t="n"/>
      <c r="G62" s="20" t="n"/>
      <c r="H62" s="20" t="n"/>
      <c r="I62" s="28" t="n"/>
      <c r="J62" s="28" t="n"/>
      <c r="K62" s="22" t="n"/>
      <c r="L62" s="20" t="n"/>
      <c r="M62" s="22" t="n"/>
      <c r="N62" s="20" t="n"/>
      <c r="O62" s="28" t="n"/>
    </row>
    <row r="63">
      <c r="A63" s="28" t="n"/>
      <c r="B63" s="17">
        <f>IF($A63="","",IFERROR(INDEX(案件管理!$B:$B,MATCH($A63,案件管理!$A:$A,0)),""))</f>
        <v/>
      </c>
      <c r="C63" s="17">
        <f>IF($A63="","",IFERROR(INDEX(案件管理!$AE:$AE,MATCH($A63,案件管理!$A:$A,0)),""))</f>
        <v/>
      </c>
      <c r="D63" s="17">
        <f>IF($A63="","",IFERROR(INDEX(案件管理!$AF:$AF,MATCH($A63,案件管理!$A:$A,0)),""))</f>
        <v/>
      </c>
      <c r="E63" s="28" t="n"/>
      <c r="F63" s="23" t="n"/>
      <c r="G63" s="20" t="n"/>
      <c r="H63" s="20" t="n"/>
      <c r="I63" s="28" t="n"/>
      <c r="J63" s="28" t="n"/>
      <c r="K63" s="22" t="n"/>
      <c r="L63" s="20" t="n"/>
      <c r="M63" s="22" t="n"/>
      <c r="N63" s="20" t="n"/>
      <c r="O63" s="28" t="n"/>
    </row>
    <row r="64">
      <c r="A64" s="28" t="n"/>
      <c r="B64" s="17">
        <f>IF($A64="","",IFERROR(INDEX(案件管理!$B:$B,MATCH($A64,案件管理!$A:$A,0)),""))</f>
        <v/>
      </c>
      <c r="C64" s="17">
        <f>IF($A64="","",IFERROR(INDEX(案件管理!$AE:$AE,MATCH($A64,案件管理!$A:$A,0)),""))</f>
        <v/>
      </c>
      <c r="D64" s="17">
        <f>IF($A64="","",IFERROR(INDEX(案件管理!$AF:$AF,MATCH($A64,案件管理!$A:$A,0)),""))</f>
        <v/>
      </c>
      <c r="E64" s="28" t="n"/>
      <c r="F64" s="23" t="n"/>
      <c r="G64" s="20" t="n"/>
      <c r="H64" s="20" t="n"/>
      <c r="I64" s="28" t="n"/>
      <c r="J64" s="28" t="n"/>
      <c r="K64" s="22" t="n"/>
      <c r="L64" s="20" t="n"/>
      <c r="M64" s="22" t="n"/>
      <c r="N64" s="20" t="n"/>
      <c r="O64" s="28" t="n"/>
    </row>
    <row r="65">
      <c r="A65" s="28" t="n"/>
      <c r="B65" s="17">
        <f>IF($A65="","",IFERROR(INDEX(案件管理!$B:$B,MATCH($A65,案件管理!$A:$A,0)),""))</f>
        <v/>
      </c>
      <c r="C65" s="17">
        <f>IF($A65="","",IFERROR(INDEX(案件管理!$AE:$AE,MATCH($A65,案件管理!$A:$A,0)),""))</f>
        <v/>
      </c>
      <c r="D65" s="17">
        <f>IF($A65="","",IFERROR(INDEX(案件管理!$AF:$AF,MATCH($A65,案件管理!$A:$A,0)),""))</f>
        <v/>
      </c>
      <c r="E65" s="28" t="n"/>
      <c r="F65" s="23" t="n"/>
      <c r="G65" s="20" t="n"/>
      <c r="H65" s="20" t="n"/>
      <c r="I65" s="28" t="n"/>
      <c r="J65" s="28" t="n"/>
      <c r="K65" s="22" t="n"/>
      <c r="L65" s="20" t="n"/>
      <c r="M65" s="22" t="n"/>
      <c r="N65" s="20" t="n"/>
      <c r="O65" s="28" t="n"/>
    </row>
    <row r="66">
      <c r="A66" s="28" t="n"/>
      <c r="B66" s="17">
        <f>IF($A66="","",IFERROR(INDEX(案件管理!$B:$B,MATCH($A66,案件管理!$A:$A,0)),""))</f>
        <v/>
      </c>
      <c r="C66" s="17">
        <f>IF($A66="","",IFERROR(INDEX(案件管理!$AE:$AE,MATCH($A66,案件管理!$A:$A,0)),""))</f>
        <v/>
      </c>
      <c r="D66" s="17">
        <f>IF($A66="","",IFERROR(INDEX(案件管理!$AF:$AF,MATCH($A66,案件管理!$A:$A,0)),""))</f>
        <v/>
      </c>
      <c r="E66" s="28" t="n"/>
      <c r="F66" s="23" t="n"/>
      <c r="G66" s="20" t="n"/>
      <c r="H66" s="20" t="n"/>
      <c r="I66" s="28" t="n"/>
      <c r="J66" s="28" t="n"/>
      <c r="K66" s="22" t="n"/>
      <c r="L66" s="20" t="n"/>
      <c r="M66" s="22" t="n"/>
      <c r="N66" s="20" t="n"/>
      <c r="O66" s="28" t="n"/>
    </row>
    <row r="67">
      <c r="A67" s="28" t="n"/>
      <c r="B67" s="17">
        <f>IF($A67="","",IFERROR(INDEX(案件管理!$B:$B,MATCH($A67,案件管理!$A:$A,0)),""))</f>
        <v/>
      </c>
      <c r="C67" s="17">
        <f>IF($A67="","",IFERROR(INDEX(案件管理!$AE:$AE,MATCH($A67,案件管理!$A:$A,0)),""))</f>
        <v/>
      </c>
      <c r="D67" s="17">
        <f>IF($A67="","",IFERROR(INDEX(案件管理!$AF:$AF,MATCH($A67,案件管理!$A:$A,0)),""))</f>
        <v/>
      </c>
      <c r="E67" s="28" t="n"/>
      <c r="F67" s="23" t="n"/>
      <c r="G67" s="20" t="n"/>
      <c r="H67" s="20" t="n"/>
      <c r="I67" s="28" t="n"/>
      <c r="J67" s="28" t="n"/>
      <c r="K67" s="22" t="n"/>
      <c r="L67" s="20" t="n"/>
      <c r="M67" s="22" t="n"/>
      <c r="N67" s="20" t="n"/>
      <c r="O67" s="28" t="n"/>
    </row>
    <row r="68">
      <c r="A68" s="28" t="n"/>
      <c r="B68" s="17">
        <f>IF($A68="","",IFERROR(INDEX(案件管理!$B:$B,MATCH($A68,案件管理!$A:$A,0)),""))</f>
        <v/>
      </c>
      <c r="C68" s="17">
        <f>IF($A68="","",IFERROR(INDEX(案件管理!$AE:$AE,MATCH($A68,案件管理!$A:$A,0)),""))</f>
        <v/>
      </c>
      <c r="D68" s="17">
        <f>IF($A68="","",IFERROR(INDEX(案件管理!$AF:$AF,MATCH($A68,案件管理!$A:$A,0)),""))</f>
        <v/>
      </c>
      <c r="E68" s="28" t="n"/>
      <c r="F68" s="23" t="n"/>
      <c r="G68" s="20" t="n"/>
      <c r="H68" s="20" t="n"/>
      <c r="I68" s="28" t="n"/>
      <c r="J68" s="28" t="n"/>
      <c r="K68" s="22" t="n"/>
      <c r="L68" s="20" t="n"/>
      <c r="M68" s="22" t="n"/>
      <c r="N68" s="20" t="n"/>
      <c r="O68" s="28" t="n"/>
    </row>
    <row r="69">
      <c r="A69" s="28" t="n"/>
      <c r="B69" s="17">
        <f>IF($A69="","",IFERROR(INDEX(案件管理!$B:$B,MATCH($A69,案件管理!$A:$A,0)),""))</f>
        <v/>
      </c>
      <c r="C69" s="17">
        <f>IF($A69="","",IFERROR(INDEX(案件管理!$AE:$AE,MATCH($A69,案件管理!$A:$A,0)),""))</f>
        <v/>
      </c>
      <c r="D69" s="17">
        <f>IF($A69="","",IFERROR(INDEX(案件管理!$AF:$AF,MATCH($A69,案件管理!$A:$A,0)),""))</f>
        <v/>
      </c>
      <c r="E69" s="28" t="n"/>
      <c r="F69" s="23" t="n"/>
      <c r="G69" s="20" t="n"/>
      <c r="H69" s="20" t="n"/>
      <c r="I69" s="28" t="n"/>
      <c r="J69" s="28" t="n"/>
      <c r="K69" s="22" t="n"/>
      <c r="L69" s="20" t="n"/>
      <c r="M69" s="22" t="n"/>
      <c r="N69" s="20" t="n"/>
      <c r="O69" s="28" t="n"/>
    </row>
    <row r="70">
      <c r="A70" s="28" t="n"/>
      <c r="B70" s="17">
        <f>IF($A70="","",IFERROR(INDEX(案件管理!$B:$B,MATCH($A70,案件管理!$A:$A,0)),""))</f>
        <v/>
      </c>
      <c r="C70" s="17">
        <f>IF($A70="","",IFERROR(INDEX(案件管理!$AE:$AE,MATCH($A70,案件管理!$A:$A,0)),""))</f>
        <v/>
      </c>
      <c r="D70" s="17">
        <f>IF($A70="","",IFERROR(INDEX(案件管理!$AF:$AF,MATCH($A70,案件管理!$A:$A,0)),""))</f>
        <v/>
      </c>
      <c r="E70" s="28" t="n"/>
      <c r="F70" s="23" t="n"/>
      <c r="G70" s="20" t="n"/>
      <c r="H70" s="20" t="n"/>
      <c r="I70" s="28" t="n"/>
      <c r="J70" s="28" t="n"/>
      <c r="K70" s="22" t="n"/>
      <c r="L70" s="20" t="n"/>
      <c r="M70" s="22" t="n"/>
      <c r="N70" s="20" t="n"/>
      <c r="O70" s="28" t="n"/>
    </row>
    <row r="71">
      <c r="A71" s="28" t="n"/>
      <c r="B71" s="17">
        <f>IF($A71="","",IFERROR(INDEX(案件管理!$B:$B,MATCH($A71,案件管理!$A:$A,0)),""))</f>
        <v/>
      </c>
      <c r="C71" s="17">
        <f>IF($A71="","",IFERROR(INDEX(案件管理!$AE:$AE,MATCH($A71,案件管理!$A:$A,0)),""))</f>
        <v/>
      </c>
      <c r="D71" s="17">
        <f>IF($A71="","",IFERROR(INDEX(案件管理!$AF:$AF,MATCH($A71,案件管理!$A:$A,0)),""))</f>
        <v/>
      </c>
      <c r="E71" s="28" t="n"/>
      <c r="F71" s="23" t="n"/>
      <c r="G71" s="20" t="n"/>
      <c r="H71" s="20" t="n"/>
      <c r="I71" s="28" t="n"/>
      <c r="J71" s="28" t="n"/>
      <c r="K71" s="22" t="n"/>
      <c r="L71" s="20" t="n"/>
      <c r="M71" s="22" t="n"/>
      <c r="N71" s="20" t="n"/>
      <c r="O71" s="28" t="n"/>
    </row>
    <row r="72">
      <c r="A72" s="28" t="n"/>
      <c r="B72" s="17">
        <f>IF($A72="","",IFERROR(INDEX(案件管理!$B:$B,MATCH($A72,案件管理!$A:$A,0)),""))</f>
        <v/>
      </c>
      <c r="C72" s="17">
        <f>IF($A72="","",IFERROR(INDEX(案件管理!$AE:$AE,MATCH($A72,案件管理!$A:$A,0)),""))</f>
        <v/>
      </c>
      <c r="D72" s="17">
        <f>IF($A72="","",IFERROR(INDEX(案件管理!$AF:$AF,MATCH($A72,案件管理!$A:$A,0)),""))</f>
        <v/>
      </c>
      <c r="E72" s="28" t="n"/>
      <c r="F72" s="23" t="n"/>
      <c r="G72" s="20" t="n"/>
      <c r="H72" s="20" t="n"/>
      <c r="I72" s="28" t="n"/>
      <c r="J72" s="28" t="n"/>
      <c r="K72" s="22" t="n"/>
      <c r="L72" s="20" t="n"/>
      <c r="M72" s="22" t="n"/>
      <c r="N72" s="20" t="n"/>
      <c r="O72" s="28" t="n"/>
    </row>
    <row r="73">
      <c r="A73" s="28" t="n"/>
      <c r="B73" s="17">
        <f>IF($A73="","",IFERROR(INDEX(案件管理!$B:$B,MATCH($A73,案件管理!$A:$A,0)),""))</f>
        <v/>
      </c>
      <c r="C73" s="17">
        <f>IF($A73="","",IFERROR(INDEX(案件管理!$AE:$AE,MATCH($A73,案件管理!$A:$A,0)),""))</f>
        <v/>
      </c>
      <c r="D73" s="17">
        <f>IF($A73="","",IFERROR(INDEX(案件管理!$AF:$AF,MATCH($A73,案件管理!$A:$A,0)),""))</f>
        <v/>
      </c>
      <c r="E73" s="28" t="n"/>
      <c r="F73" s="23" t="n"/>
      <c r="G73" s="20" t="n"/>
      <c r="H73" s="20" t="n"/>
      <c r="I73" s="28" t="n"/>
      <c r="J73" s="28" t="n"/>
      <c r="K73" s="22" t="n"/>
      <c r="L73" s="20" t="n"/>
      <c r="M73" s="22" t="n"/>
      <c r="N73" s="20" t="n"/>
      <c r="O73" s="28" t="n"/>
    </row>
    <row r="74">
      <c r="A74" s="28" t="n"/>
      <c r="B74" s="17">
        <f>IF($A74="","",IFERROR(INDEX(案件管理!$B:$B,MATCH($A74,案件管理!$A:$A,0)),""))</f>
        <v/>
      </c>
      <c r="C74" s="17">
        <f>IF($A74="","",IFERROR(INDEX(案件管理!$AE:$AE,MATCH($A74,案件管理!$A:$A,0)),""))</f>
        <v/>
      </c>
      <c r="D74" s="17">
        <f>IF($A74="","",IFERROR(INDEX(案件管理!$AF:$AF,MATCH($A74,案件管理!$A:$A,0)),""))</f>
        <v/>
      </c>
      <c r="E74" s="28" t="n"/>
      <c r="F74" s="23" t="n"/>
      <c r="G74" s="20" t="n"/>
      <c r="H74" s="20" t="n"/>
      <c r="I74" s="28" t="n"/>
      <c r="J74" s="28" t="n"/>
      <c r="K74" s="22" t="n"/>
      <c r="L74" s="20" t="n"/>
      <c r="M74" s="22" t="n"/>
      <c r="N74" s="20" t="n"/>
      <c r="O74" s="28" t="n"/>
    </row>
    <row r="75">
      <c r="A75" s="28" t="n"/>
      <c r="B75" s="17">
        <f>IF($A75="","",IFERROR(INDEX(案件管理!$B:$B,MATCH($A75,案件管理!$A:$A,0)),""))</f>
        <v/>
      </c>
      <c r="C75" s="17">
        <f>IF($A75="","",IFERROR(INDEX(案件管理!$AE:$AE,MATCH($A75,案件管理!$A:$A,0)),""))</f>
        <v/>
      </c>
      <c r="D75" s="17">
        <f>IF($A75="","",IFERROR(INDEX(案件管理!$AF:$AF,MATCH($A75,案件管理!$A:$A,0)),""))</f>
        <v/>
      </c>
      <c r="E75" s="28" t="n"/>
      <c r="F75" s="23" t="n"/>
      <c r="G75" s="20" t="n"/>
      <c r="H75" s="20" t="n"/>
      <c r="I75" s="28" t="n"/>
      <c r="J75" s="28" t="n"/>
      <c r="K75" s="22" t="n"/>
      <c r="L75" s="20" t="n"/>
      <c r="M75" s="22" t="n"/>
      <c r="N75" s="20" t="n"/>
      <c r="O75" s="28" t="n"/>
    </row>
    <row r="76">
      <c r="A76" s="28" t="n"/>
      <c r="B76" s="17">
        <f>IF($A76="","",IFERROR(INDEX(案件管理!$B:$B,MATCH($A76,案件管理!$A:$A,0)),""))</f>
        <v/>
      </c>
      <c r="C76" s="17">
        <f>IF($A76="","",IFERROR(INDEX(案件管理!$AE:$AE,MATCH($A76,案件管理!$A:$A,0)),""))</f>
        <v/>
      </c>
      <c r="D76" s="17">
        <f>IF($A76="","",IFERROR(INDEX(案件管理!$AF:$AF,MATCH($A76,案件管理!$A:$A,0)),""))</f>
        <v/>
      </c>
      <c r="E76" s="28" t="n"/>
      <c r="F76" s="23" t="n"/>
      <c r="G76" s="20" t="n"/>
      <c r="H76" s="20" t="n"/>
      <c r="I76" s="28" t="n"/>
      <c r="J76" s="28" t="n"/>
      <c r="K76" s="22" t="n"/>
      <c r="L76" s="20" t="n"/>
      <c r="M76" s="22" t="n"/>
      <c r="N76" s="20" t="n"/>
      <c r="O76" s="28" t="n"/>
    </row>
    <row r="77">
      <c r="A77" s="28" t="n"/>
      <c r="B77" s="17">
        <f>IF($A77="","",IFERROR(INDEX(案件管理!$B:$B,MATCH($A77,案件管理!$A:$A,0)),""))</f>
        <v/>
      </c>
      <c r="C77" s="17">
        <f>IF($A77="","",IFERROR(INDEX(案件管理!$AE:$AE,MATCH($A77,案件管理!$A:$A,0)),""))</f>
        <v/>
      </c>
      <c r="D77" s="17">
        <f>IF($A77="","",IFERROR(INDEX(案件管理!$AF:$AF,MATCH($A77,案件管理!$A:$A,0)),""))</f>
        <v/>
      </c>
      <c r="E77" s="28" t="n"/>
      <c r="F77" s="23" t="n"/>
      <c r="G77" s="20" t="n"/>
      <c r="H77" s="20" t="n"/>
      <c r="I77" s="28" t="n"/>
      <c r="J77" s="28" t="n"/>
      <c r="K77" s="22" t="n"/>
      <c r="L77" s="20" t="n"/>
      <c r="M77" s="22" t="n"/>
      <c r="N77" s="20" t="n"/>
      <c r="O77" s="28" t="n"/>
    </row>
    <row r="78">
      <c r="A78" s="28" t="n"/>
      <c r="B78" s="17">
        <f>IF($A78="","",IFERROR(INDEX(案件管理!$B:$B,MATCH($A78,案件管理!$A:$A,0)),""))</f>
        <v/>
      </c>
      <c r="C78" s="17">
        <f>IF($A78="","",IFERROR(INDEX(案件管理!$AE:$AE,MATCH($A78,案件管理!$A:$A,0)),""))</f>
        <v/>
      </c>
      <c r="D78" s="17">
        <f>IF($A78="","",IFERROR(INDEX(案件管理!$AF:$AF,MATCH($A78,案件管理!$A:$A,0)),""))</f>
        <v/>
      </c>
      <c r="E78" s="28" t="n"/>
      <c r="F78" s="23" t="n"/>
      <c r="G78" s="20" t="n"/>
      <c r="H78" s="20" t="n"/>
      <c r="I78" s="28" t="n"/>
      <c r="J78" s="28" t="n"/>
      <c r="K78" s="22" t="n"/>
      <c r="L78" s="20" t="n"/>
      <c r="M78" s="22" t="n"/>
      <c r="N78" s="20" t="n"/>
      <c r="O78" s="28" t="n"/>
    </row>
    <row r="79">
      <c r="A79" s="28" t="n"/>
      <c r="B79" s="17">
        <f>IF($A79="","",IFERROR(INDEX(案件管理!$B:$B,MATCH($A79,案件管理!$A:$A,0)),""))</f>
        <v/>
      </c>
      <c r="C79" s="17">
        <f>IF($A79="","",IFERROR(INDEX(案件管理!$AE:$AE,MATCH($A79,案件管理!$A:$A,0)),""))</f>
        <v/>
      </c>
      <c r="D79" s="17">
        <f>IF($A79="","",IFERROR(INDEX(案件管理!$AF:$AF,MATCH($A79,案件管理!$A:$A,0)),""))</f>
        <v/>
      </c>
      <c r="E79" s="28" t="n"/>
      <c r="F79" s="23" t="n"/>
      <c r="G79" s="20" t="n"/>
      <c r="H79" s="20" t="n"/>
      <c r="I79" s="28" t="n"/>
      <c r="J79" s="28" t="n"/>
      <c r="K79" s="22" t="n"/>
      <c r="L79" s="20" t="n"/>
      <c r="M79" s="22" t="n"/>
      <c r="N79" s="20" t="n"/>
      <c r="O79" s="28" t="n"/>
    </row>
    <row r="80">
      <c r="A80" s="28" t="n"/>
      <c r="B80" s="17">
        <f>IF($A80="","",IFERROR(INDEX(案件管理!$B:$B,MATCH($A80,案件管理!$A:$A,0)),""))</f>
        <v/>
      </c>
      <c r="C80" s="17">
        <f>IF($A80="","",IFERROR(INDEX(案件管理!$AE:$AE,MATCH($A80,案件管理!$A:$A,0)),""))</f>
        <v/>
      </c>
      <c r="D80" s="17">
        <f>IF($A80="","",IFERROR(INDEX(案件管理!$AF:$AF,MATCH($A80,案件管理!$A:$A,0)),""))</f>
        <v/>
      </c>
      <c r="E80" s="28" t="n"/>
      <c r="F80" s="23" t="n"/>
      <c r="G80" s="20" t="n"/>
      <c r="H80" s="20" t="n"/>
      <c r="I80" s="28" t="n"/>
      <c r="J80" s="28" t="n"/>
      <c r="K80" s="22" t="n"/>
      <c r="L80" s="20" t="n"/>
      <c r="M80" s="22" t="n"/>
      <c r="N80" s="20" t="n"/>
      <c r="O80" s="28" t="n"/>
    </row>
    <row r="81">
      <c r="A81" s="28" t="n"/>
      <c r="B81" s="17">
        <f>IF($A81="","",IFERROR(INDEX(案件管理!$B:$B,MATCH($A81,案件管理!$A:$A,0)),""))</f>
        <v/>
      </c>
      <c r="C81" s="17">
        <f>IF($A81="","",IFERROR(INDEX(案件管理!$AE:$AE,MATCH($A81,案件管理!$A:$A,0)),""))</f>
        <v/>
      </c>
      <c r="D81" s="17">
        <f>IF($A81="","",IFERROR(INDEX(案件管理!$AF:$AF,MATCH($A81,案件管理!$A:$A,0)),""))</f>
        <v/>
      </c>
      <c r="E81" s="28" t="n"/>
      <c r="F81" s="23" t="n"/>
      <c r="G81" s="20" t="n"/>
      <c r="H81" s="20" t="n"/>
      <c r="I81" s="28" t="n"/>
      <c r="J81" s="28" t="n"/>
      <c r="K81" s="22" t="n"/>
      <c r="L81" s="20" t="n"/>
      <c r="M81" s="22" t="n"/>
      <c r="N81" s="20" t="n"/>
      <c r="O81" s="28" t="n"/>
    </row>
    <row r="82">
      <c r="A82" s="28" t="n"/>
      <c r="B82" s="17">
        <f>IF($A82="","",IFERROR(INDEX(案件管理!$B:$B,MATCH($A82,案件管理!$A:$A,0)),""))</f>
        <v/>
      </c>
      <c r="C82" s="17">
        <f>IF($A82="","",IFERROR(INDEX(案件管理!$AE:$AE,MATCH($A82,案件管理!$A:$A,0)),""))</f>
        <v/>
      </c>
      <c r="D82" s="17">
        <f>IF($A82="","",IFERROR(INDEX(案件管理!$AF:$AF,MATCH($A82,案件管理!$A:$A,0)),""))</f>
        <v/>
      </c>
      <c r="E82" s="28" t="n"/>
      <c r="F82" s="23" t="n"/>
      <c r="G82" s="20" t="n"/>
      <c r="H82" s="20" t="n"/>
      <c r="I82" s="28" t="n"/>
      <c r="J82" s="28" t="n"/>
      <c r="K82" s="22" t="n"/>
      <c r="L82" s="20" t="n"/>
      <c r="M82" s="22" t="n"/>
      <c r="N82" s="20" t="n"/>
      <c r="O82" s="28" t="n"/>
    </row>
    <row r="83">
      <c r="A83" s="28" t="n"/>
      <c r="B83" s="17">
        <f>IF($A83="","",IFERROR(INDEX(案件管理!$B:$B,MATCH($A83,案件管理!$A:$A,0)),""))</f>
        <v/>
      </c>
      <c r="C83" s="17">
        <f>IF($A83="","",IFERROR(INDEX(案件管理!$AE:$AE,MATCH($A83,案件管理!$A:$A,0)),""))</f>
        <v/>
      </c>
      <c r="D83" s="17">
        <f>IF($A83="","",IFERROR(INDEX(案件管理!$AF:$AF,MATCH($A83,案件管理!$A:$A,0)),""))</f>
        <v/>
      </c>
      <c r="E83" s="28" t="n"/>
      <c r="F83" s="23" t="n"/>
      <c r="G83" s="20" t="n"/>
      <c r="H83" s="20" t="n"/>
      <c r="I83" s="28" t="n"/>
      <c r="J83" s="28" t="n"/>
      <c r="K83" s="22" t="n"/>
      <c r="L83" s="20" t="n"/>
      <c r="M83" s="22" t="n"/>
      <c r="N83" s="20" t="n"/>
      <c r="O83" s="28" t="n"/>
    </row>
    <row r="84">
      <c r="A84" s="28" t="n"/>
      <c r="B84" s="17">
        <f>IF($A84="","",IFERROR(INDEX(案件管理!$B:$B,MATCH($A84,案件管理!$A:$A,0)),""))</f>
        <v/>
      </c>
      <c r="C84" s="17">
        <f>IF($A84="","",IFERROR(INDEX(案件管理!$AE:$AE,MATCH($A84,案件管理!$A:$A,0)),""))</f>
        <v/>
      </c>
      <c r="D84" s="17">
        <f>IF($A84="","",IFERROR(INDEX(案件管理!$AF:$AF,MATCH($A84,案件管理!$A:$A,0)),""))</f>
        <v/>
      </c>
      <c r="E84" s="28" t="n"/>
      <c r="F84" s="23" t="n"/>
      <c r="G84" s="20" t="n"/>
      <c r="H84" s="20" t="n"/>
      <c r="I84" s="28" t="n"/>
      <c r="J84" s="28" t="n"/>
      <c r="K84" s="22" t="n"/>
      <c r="L84" s="20" t="n"/>
      <c r="M84" s="22" t="n"/>
      <c r="N84" s="20" t="n"/>
      <c r="O84" s="28" t="n"/>
    </row>
    <row r="85">
      <c r="A85" s="28" t="n"/>
      <c r="B85" s="17">
        <f>IF($A85="","",IFERROR(INDEX(案件管理!$B:$B,MATCH($A85,案件管理!$A:$A,0)),""))</f>
        <v/>
      </c>
      <c r="C85" s="17">
        <f>IF($A85="","",IFERROR(INDEX(案件管理!$AE:$AE,MATCH($A85,案件管理!$A:$A,0)),""))</f>
        <v/>
      </c>
      <c r="D85" s="17">
        <f>IF($A85="","",IFERROR(INDEX(案件管理!$AF:$AF,MATCH($A85,案件管理!$A:$A,0)),""))</f>
        <v/>
      </c>
      <c r="E85" s="28" t="n"/>
      <c r="F85" s="23" t="n"/>
      <c r="G85" s="20" t="n"/>
      <c r="H85" s="20" t="n"/>
      <c r="I85" s="28" t="n"/>
      <c r="J85" s="28" t="n"/>
      <c r="K85" s="22" t="n"/>
      <c r="L85" s="20" t="n"/>
      <c r="M85" s="22" t="n"/>
      <c r="N85" s="20" t="n"/>
      <c r="O85" s="28" t="n"/>
    </row>
    <row r="86">
      <c r="A86" s="28" t="n"/>
      <c r="B86" s="17">
        <f>IF($A86="","",IFERROR(INDEX(案件管理!$B:$B,MATCH($A86,案件管理!$A:$A,0)),""))</f>
        <v/>
      </c>
      <c r="C86" s="17">
        <f>IF($A86="","",IFERROR(INDEX(案件管理!$AE:$AE,MATCH($A86,案件管理!$A:$A,0)),""))</f>
        <v/>
      </c>
      <c r="D86" s="17">
        <f>IF($A86="","",IFERROR(INDEX(案件管理!$AF:$AF,MATCH($A86,案件管理!$A:$A,0)),""))</f>
        <v/>
      </c>
      <c r="E86" s="28" t="n"/>
      <c r="F86" s="23" t="n"/>
      <c r="G86" s="20" t="n"/>
      <c r="H86" s="20" t="n"/>
      <c r="I86" s="28" t="n"/>
      <c r="J86" s="28" t="n"/>
      <c r="K86" s="22" t="n"/>
      <c r="L86" s="20" t="n"/>
      <c r="M86" s="22" t="n"/>
      <c r="N86" s="20" t="n"/>
      <c r="O86" s="28" t="n"/>
    </row>
    <row r="87">
      <c r="A87" s="28" t="n"/>
      <c r="B87" s="17">
        <f>IF($A87="","",IFERROR(INDEX(案件管理!$B:$B,MATCH($A87,案件管理!$A:$A,0)),""))</f>
        <v/>
      </c>
      <c r="C87" s="17">
        <f>IF($A87="","",IFERROR(INDEX(案件管理!$AE:$AE,MATCH($A87,案件管理!$A:$A,0)),""))</f>
        <v/>
      </c>
      <c r="D87" s="17">
        <f>IF($A87="","",IFERROR(INDEX(案件管理!$AF:$AF,MATCH($A87,案件管理!$A:$A,0)),""))</f>
        <v/>
      </c>
      <c r="E87" s="28" t="n"/>
      <c r="F87" s="23" t="n"/>
      <c r="G87" s="20" t="n"/>
      <c r="H87" s="20" t="n"/>
      <c r="I87" s="28" t="n"/>
      <c r="J87" s="28" t="n"/>
      <c r="K87" s="22" t="n"/>
      <c r="L87" s="20" t="n"/>
      <c r="M87" s="22" t="n"/>
      <c r="N87" s="20" t="n"/>
      <c r="O87" s="28" t="n"/>
    </row>
    <row r="88">
      <c r="A88" s="28" t="n"/>
      <c r="B88" s="17">
        <f>IF($A88="","",IFERROR(INDEX(案件管理!$B:$B,MATCH($A88,案件管理!$A:$A,0)),""))</f>
        <v/>
      </c>
      <c r="C88" s="17">
        <f>IF($A88="","",IFERROR(INDEX(案件管理!$AE:$AE,MATCH($A88,案件管理!$A:$A,0)),""))</f>
        <v/>
      </c>
      <c r="D88" s="17">
        <f>IF($A88="","",IFERROR(INDEX(案件管理!$AF:$AF,MATCH($A88,案件管理!$A:$A,0)),""))</f>
        <v/>
      </c>
      <c r="E88" s="28" t="n"/>
      <c r="F88" s="23" t="n"/>
      <c r="G88" s="20" t="n"/>
      <c r="H88" s="20" t="n"/>
      <c r="I88" s="28" t="n"/>
      <c r="J88" s="28" t="n"/>
      <c r="K88" s="22" t="n"/>
      <c r="L88" s="20" t="n"/>
      <c r="M88" s="22" t="n"/>
      <c r="N88" s="20" t="n"/>
      <c r="O88" s="28" t="n"/>
    </row>
    <row r="89">
      <c r="A89" s="28" t="n"/>
      <c r="B89" s="17">
        <f>IF($A89="","",IFERROR(INDEX(案件管理!$B:$B,MATCH($A89,案件管理!$A:$A,0)),""))</f>
        <v/>
      </c>
      <c r="C89" s="17">
        <f>IF($A89="","",IFERROR(INDEX(案件管理!$AE:$AE,MATCH($A89,案件管理!$A:$A,0)),""))</f>
        <v/>
      </c>
      <c r="D89" s="17">
        <f>IF($A89="","",IFERROR(INDEX(案件管理!$AF:$AF,MATCH($A89,案件管理!$A:$A,0)),""))</f>
        <v/>
      </c>
      <c r="E89" s="28" t="n"/>
      <c r="F89" s="23" t="n"/>
      <c r="G89" s="20" t="n"/>
      <c r="H89" s="20" t="n"/>
      <c r="I89" s="28" t="n"/>
      <c r="J89" s="28" t="n"/>
      <c r="K89" s="22" t="n"/>
      <c r="L89" s="20" t="n"/>
      <c r="M89" s="22" t="n"/>
      <c r="N89" s="20" t="n"/>
      <c r="O89" s="28" t="n"/>
    </row>
    <row r="90">
      <c r="A90" s="28" t="n"/>
      <c r="B90" s="17">
        <f>IF($A90="","",IFERROR(INDEX(案件管理!$B:$B,MATCH($A90,案件管理!$A:$A,0)),""))</f>
        <v/>
      </c>
      <c r="C90" s="17">
        <f>IF($A90="","",IFERROR(INDEX(案件管理!$AE:$AE,MATCH($A90,案件管理!$A:$A,0)),""))</f>
        <v/>
      </c>
      <c r="D90" s="17">
        <f>IF($A90="","",IFERROR(INDEX(案件管理!$AF:$AF,MATCH($A90,案件管理!$A:$A,0)),""))</f>
        <v/>
      </c>
      <c r="E90" s="28" t="n"/>
      <c r="F90" s="23" t="n"/>
      <c r="G90" s="20" t="n"/>
      <c r="H90" s="20" t="n"/>
      <c r="I90" s="28" t="n"/>
      <c r="J90" s="28" t="n"/>
      <c r="K90" s="22" t="n"/>
      <c r="L90" s="20" t="n"/>
      <c r="M90" s="22" t="n"/>
      <c r="N90" s="20" t="n"/>
      <c r="O90" s="28" t="n"/>
    </row>
    <row r="91">
      <c r="A91" s="28" t="n"/>
      <c r="B91" s="17">
        <f>IF($A91="","",IFERROR(INDEX(案件管理!$B:$B,MATCH($A91,案件管理!$A:$A,0)),""))</f>
        <v/>
      </c>
      <c r="C91" s="17">
        <f>IF($A91="","",IFERROR(INDEX(案件管理!$AE:$AE,MATCH($A91,案件管理!$A:$A,0)),""))</f>
        <v/>
      </c>
      <c r="D91" s="17">
        <f>IF($A91="","",IFERROR(INDEX(案件管理!$AF:$AF,MATCH($A91,案件管理!$A:$A,0)),""))</f>
        <v/>
      </c>
      <c r="E91" s="28" t="n"/>
      <c r="F91" s="23" t="n"/>
      <c r="G91" s="20" t="n"/>
      <c r="H91" s="20" t="n"/>
      <c r="I91" s="28" t="n"/>
      <c r="J91" s="28" t="n"/>
      <c r="K91" s="22" t="n"/>
      <c r="L91" s="20" t="n"/>
      <c r="M91" s="22" t="n"/>
      <c r="N91" s="20" t="n"/>
      <c r="O91" s="28" t="n"/>
    </row>
    <row r="92">
      <c r="A92" s="28" t="n"/>
      <c r="B92" s="17">
        <f>IF($A92="","",IFERROR(INDEX(案件管理!$B:$B,MATCH($A92,案件管理!$A:$A,0)),""))</f>
        <v/>
      </c>
      <c r="C92" s="17">
        <f>IF($A92="","",IFERROR(INDEX(案件管理!$AE:$AE,MATCH($A92,案件管理!$A:$A,0)),""))</f>
        <v/>
      </c>
      <c r="D92" s="17">
        <f>IF($A92="","",IFERROR(INDEX(案件管理!$AF:$AF,MATCH($A92,案件管理!$A:$A,0)),""))</f>
        <v/>
      </c>
      <c r="E92" s="28" t="n"/>
      <c r="F92" s="23" t="n"/>
      <c r="G92" s="20" t="n"/>
      <c r="H92" s="20" t="n"/>
      <c r="I92" s="28" t="n"/>
      <c r="J92" s="28" t="n"/>
      <c r="K92" s="22" t="n"/>
      <c r="L92" s="20" t="n"/>
      <c r="M92" s="22" t="n"/>
      <c r="N92" s="20" t="n"/>
      <c r="O92" s="28" t="n"/>
    </row>
    <row r="93">
      <c r="A93" s="28" t="n"/>
      <c r="B93" s="17">
        <f>IF($A93="","",IFERROR(INDEX(案件管理!$B:$B,MATCH($A93,案件管理!$A:$A,0)),""))</f>
        <v/>
      </c>
      <c r="C93" s="17">
        <f>IF($A93="","",IFERROR(INDEX(案件管理!$AE:$AE,MATCH($A93,案件管理!$A:$A,0)),""))</f>
        <v/>
      </c>
      <c r="D93" s="17">
        <f>IF($A93="","",IFERROR(INDEX(案件管理!$AF:$AF,MATCH($A93,案件管理!$A:$A,0)),""))</f>
        <v/>
      </c>
      <c r="E93" s="28" t="n"/>
      <c r="F93" s="23" t="n"/>
      <c r="G93" s="20" t="n"/>
      <c r="H93" s="20" t="n"/>
      <c r="I93" s="28" t="n"/>
      <c r="J93" s="28" t="n"/>
      <c r="K93" s="22" t="n"/>
      <c r="L93" s="20" t="n"/>
      <c r="M93" s="22" t="n"/>
      <c r="N93" s="20" t="n"/>
      <c r="O93" s="28" t="n"/>
    </row>
    <row r="94">
      <c r="A94" s="28" t="n"/>
      <c r="B94" s="17">
        <f>IF($A94="","",IFERROR(INDEX(案件管理!$B:$B,MATCH($A94,案件管理!$A:$A,0)),""))</f>
        <v/>
      </c>
      <c r="C94" s="17">
        <f>IF($A94="","",IFERROR(INDEX(案件管理!$AE:$AE,MATCH($A94,案件管理!$A:$A,0)),""))</f>
        <v/>
      </c>
      <c r="D94" s="17">
        <f>IF($A94="","",IFERROR(INDEX(案件管理!$AF:$AF,MATCH($A94,案件管理!$A:$A,0)),""))</f>
        <v/>
      </c>
      <c r="E94" s="28" t="n"/>
      <c r="F94" s="23" t="n"/>
      <c r="G94" s="20" t="n"/>
      <c r="H94" s="20" t="n"/>
      <c r="I94" s="28" t="n"/>
      <c r="J94" s="28" t="n"/>
      <c r="K94" s="22" t="n"/>
      <c r="L94" s="20" t="n"/>
      <c r="M94" s="22" t="n"/>
      <c r="N94" s="20" t="n"/>
      <c r="O94" s="28" t="n"/>
    </row>
    <row r="95">
      <c r="A95" s="28" t="n"/>
      <c r="B95" s="17">
        <f>IF($A95="","",IFERROR(INDEX(案件管理!$B:$B,MATCH($A95,案件管理!$A:$A,0)),""))</f>
        <v/>
      </c>
      <c r="C95" s="17">
        <f>IF($A95="","",IFERROR(INDEX(案件管理!$AE:$AE,MATCH($A95,案件管理!$A:$A,0)),""))</f>
        <v/>
      </c>
      <c r="D95" s="17">
        <f>IF($A95="","",IFERROR(INDEX(案件管理!$AF:$AF,MATCH($A95,案件管理!$A:$A,0)),""))</f>
        <v/>
      </c>
      <c r="E95" s="28" t="n"/>
      <c r="F95" s="23" t="n"/>
      <c r="G95" s="20" t="n"/>
      <c r="H95" s="20" t="n"/>
      <c r="I95" s="28" t="n"/>
      <c r="J95" s="28" t="n"/>
      <c r="K95" s="22" t="n"/>
      <c r="L95" s="20" t="n"/>
      <c r="M95" s="22" t="n"/>
      <c r="N95" s="20" t="n"/>
      <c r="O95" s="28" t="n"/>
    </row>
    <row r="96">
      <c r="A96" s="28" t="n"/>
      <c r="B96" s="17">
        <f>IF($A96="","",IFERROR(INDEX(案件管理!$B:$B,MATCH($A96,案件管理!$A:$A,0)),""))</f>
        <v/>
      </c>
      <c r="C96" s="17">
        <f>IF($A96="","",IFERROR(INDEX(案件管理!$AE:$AE,MATCH($A96,案件管理!$A:$A,0)),""))</f>
        <v/>
      </c>
      <c r="D96" s="17">
        <f>IF($A96="","",IFERROR(INDEX(案件管理!$AF:$AF,MATCH($A96,案件管理!$A:$A,0)),""))</f>
        <v/>
      </c>
      <c r="E96" s="28" t="n"/>
      <c r="F96" s="23" t="n"/>
      <c r="G96" s="20" t="n"/>
      <c r="H96" s="20" t="n"/>
      <c r="I96" s="28" t="n"/>
      <c r="J96" s="28" t="n"/>
      <c r="K96" s="22" t="n"/>
      <c r="L96" s="20" t="n"/>
      <c r="M96" s="22" t="n"/>
      <c r="N96" s="20" t="n"/>
      <c r="O96" s="28" t="n"/>
    </row>
    <row r="97">
      <c r="A97" s="28" t="n"/>
      <c r="B97" s="17">
        <f>IF($A97="","",IFERROR(INDEX(案件管理!$B:$B,MATCH($A97,案件管理!$A:$A,0)),""))</f>
        <v/>
      </c>
      <c r="C97" s="17">
        <f>IF($A97="","",IFERROR(INDEX(案件管理!$AE:$AE,MATCH($A97,案件管理!$A:$A,0)),""))</f>
        <v/>
      </c>
      <c r="D97" s="17">
        <f>IF($A97="","",IFERROR(INDEX(案件管理!$AF:$AF,MATCH($A97,案件管理!$A:$A,0)),""))</f>
        <v/>
      </c>
      <c r="E97" s="28" t="n"/>
      <c r="F97" s="23" t="n"/>
      <c r="G97" s="20" t="n"/>
      <c r="H97" s="20" t="n"/>
      <c r="I97" s="28" t="n"/>
      <c r="J97" s="28" t="n"/>
      <c r="K97" s="22" t="n"/>
      <c r="L97" s="20" t="n"/>
      <c r="M97" s="22" t="n"/>
      <c r="N97" s="20" t="n"/>
      <c r="O97" s="28" t="n"/>
    </row>
    <row r="98">
      <c r="A98" s="28" t="n"/>
      <c r="B98" s="17">
        <f>IF($A98="","",IFERROR(INDEX(案件管理!$B:$B,MATCH($A98,案件管理!$A:$A,0)),""))</f>
        <v/>
      </c>
      <c r="C98" s="17">
        <f>IF($A98="","",IFERROR(INDEX(案件管理!$AE:$AE,MATCH($A98,案件管理!$A:$A,0)),""))</f>
        <v/>
      </c>
      <c r="D98" s="17">
        <f>IF($A98="","",IFERROR(INDEX(案件管理!$AF:$AF,MATCH($A98,案件管理!$A:$A,0)),""))</f>
        <v/>
      </c>
      <c r="E98" s="28" t="n"/>
      <c r="F98" s="23" t="n"/>
      <c r="G98" s="20" t="n"/>
      <c r="H98" s="20" t="n"/>
      <c r="I98" s="28" t="n"/>
      <c r="J98" s="28" t="n"/>
      <c r="K98" s="22" t="n"/>
      <c r="L98" s="20" t="n"/>
      <c r="M98" s="22" t="n"/>
      <c r="N98" s="20" t="n"/>
      <c r="O98" s="28" t="n"/>
    </row>
    <row r="99">
      <c r="A99" s="28" t="n"/>
      <c r="B99" s="17">
        <f>IF($A99="","",IFERROR(INDEX(案件管理!$B:$B,MATCH($A99,案件管理!$A:$A,0)),""))</f>
        <v/>
      </c>
      <c r="C99" s="17">
        <f>IF($A99="","",IFERROR(INDEX(案件管理!$AE:$AE,MATCH($A99,案件管理!$A:$A,0)),""))</f>
        <v/>
      </c>
      <c r="D99" s="17">
        <f>IF($A99="","",IFERROR(INDEX(案件管理!$AF:$AF,MATCH($A99,案件管理!$A:$A,0)),""))</f>
        <v/>
      </c>
      <c r="E99" s="28" t="n"/>
      <c r="F99" s="23" t="n"/>
      <c r="G99" s="20" t="n"/>
      <c r="H99" s="20" t="n"/>
      <c r="I99" s="28" t="n"/>
      <c r="J99" s="28" t="n"/>
      <c r="K99" s="22" t="n"/>
      <c r="L99" s="20" t="n"/>
      <c r="M99" s="22" t="n"/>
      <c r="N99" s="20" t="n"/>
      <c r="O99" s="28" t="n"/>
    </row>
    <row r="100">
      <c r="A100" s="28" t="n"/>
      <c r="B100" s="17">
        <f>IF($A100="","",IFERROR(INDEX(案件管理!$B:$B,MATCH($A100,案件管理!$A:$A,0)),""))</f>
        <v/>
      </c>
      <c r="C100" s="17">
        <f>IF($A100="","",IFERROR(INDEX(案件管理!$AE:$AE,MATCH($A100,案件管理!$A:$A,0)),""))</f>
        <v/>
      </c>
      <c r="D100" s="17">
        <f>IF($A100="","",IFERROR(INDEX(案件管理!$AF:$AF,MATCH($A100,案件管理!$A:$A,0)),""))</f>
        <v/>
      </c>
      <c r="E100" s="28" t="n"/>
      <c r="F100" s="23" t="n"/>
      <c r="G100" s="20" t="n"/>
      <c r="H100" s="20" t="n"/>
      <c r="I100" s="28" t="n"/>
      <c r="J100" s="28" t="n"/>
      <c r="K100" s="22" t="n"/>
      <c r="L100" s="20" t="n"/>
      <c r="M100" s="22" t="n"/>
      <c r="N100" s="20" t="n"/>
      <c r="O100" s="28" t="n"/>
    </row>
    <row r="101">
      <c r="A101" s="28" t="n"/>
      <c r="B101" s="17">
        <f>IF($A101="","",IFERROR(INDEX(案件管理!$B:$B,MATCH($A101,案件管理!$A:$A,0)),""))</f>
        <v/>
      </c>
      <c r="C101" s="17">
        <f>IF($A101="","",IFERROR(INDEX(案件管理!$AE:$AE,MATCH($A101,案件管理!$A:$A,0)),""))</f>
        <v/>
      </c>
      <c r="D101" s="17">
        <f>IF($A101="","",IFERROR(INDEX(案件管理!$AF:$AF,MATCH($A101,案件管理!$A:$A,0)),""))</f>
        <v/>
      </c>
      <c r="E101" s="28" t="n"/>
      <c r="F101" s="23" t="n"/>
      <c r="G101" s="20" t="n"/>
      <c r="H101" s="20" t="n"/>
      <c r="I101" s="28" t="n"/>
      <c r="J101" s="28" t="n"/>
      <c r="K101" s="22" t="n"/>
      <c r="L101" s="20" t="n"/>
      <c r="M101" s="22" t="n"/>
      <c r="N101" s="20" t="n"/>
      <c r="O101" s="28" t="n"/>
    </row>
    <row r="102">
      <c r="A102" s="28" t="n"/>
      <c r="B102" s="17">
        <f>IF($A102="","",IFERROR(INDEX(案件管理!$B:$B,MATCH($A102,案件管理!$A:$A,0)),""))</f>
        <v/>
      </c>
      <c r="C102" s="17">
        <f>IF($A102="","",IFERROR(INDEX(案件管理!$AE:$AE,MATCH($A102,案件管理!$A:$A,0)),""))</f>
        <v/>
      </c>
      <c r="D102" s="17">
        <f>IF($A102="","",IFERROR(INDEX(案件管理!$AF:$AF,MATCH($A102,案件管理!$A:$A,0)),""))</f>
        <v/>
      </c>
      <c r="E102" s="28" t="n"/>
      <c r="F102" s="23" t="n"/>
      <c r="G102" s="20" t="n"/>
      <c r="H102" s="20" t="n"/>
      <c r="I102" s="28" t="n"/>
      <c r="J102" s="28" t="n"/>
      <c r="K102" s="22" t="n"/>
      <c r="L102" s="20" t="n"/>
      <c r="M102" s="22" t="n"/>
      <c r="N102" s="20" t="n"/>
      <c r="O102" s="28" t="n"/>
    </row>
    <row r="103">
      <c r="A103" s="28" t="n"/>
      <c r="B103" s="17">
        <f>IF($A103="","",IFERROR(INDEX(案件管理!$B:$B,MATCH($A103,案件管理!$A:$A,0)),""))</f>
        <v/>
      </c>
      <c r="C103" s="17">
        <f>IF($A103="","",IFERROR(INDEX(案件管理!$AE:$AE,MATCH($A103,案件管理!$A:$A,0)),""))</f>
        <v/>
      </c>
      <c r="D103" s="17">
        <f>IF($A103="","",IFERROR(INDEX(案件管理!$AF:$AF,MATCH($A103,案件管理!$A:$A,0)),""))</f>
        <v/>
      </c>
      <c r="E103" s="28" t="n"/>
      <c r="F103" s="23" t="n"/>
      <c r="G103" s="20" t="n"/>
      <c r="H103" s="20" t="n"/>
      <c r="I103" s="28" t="n"/>
      <c r="J103" s="28" t="n"/>
      <c r="K103" s="22" t="n"/>
      <c r="L103" s="20" t="n"/>
      <c r="M103" s="22" t="n"/>
      <c r="N103" s="20" t="n"/>
      <c r="O103" s="28" t="n"/>
    </row>
    <row r="104">
      <c r="A104" s="28" t="n"/>
      <c r="B104" s="17">
        <f>IF($A104="","",IFERROR(INDEX(案件管理!$B:$B,MATCH($A104,案件管理!$A:$A,0)),""))</f>
        <v/>
      </c>
      <c r="C104" s="17">
        <f>IF($A104="","",IFERROR(INDEX(案件管理!$AE:$AE,MATCH($A104,案件管理!$A:$A,0)),""))</f>
        <v/>
      </c>
      <c r="D104" s="17">
        <f>IF($A104="","",IFERROR(INDEX(案件管理!$AF:$AF,MATCH($A104,案件管理!$A:$A,0)),""))</f>
        <v/>
      </c>
      <c r="E104" s="28" t="n"/>
      <c r="F104" s="23" t="n"/>
      <c r="G104" s="20" t="n"/>
      <c r="H104" s="20" t="n"/>
      <c r="I104" s="28" t="n"/>
      <c r="J104" s="28" t="n"/>
      <c r="K104" s="22" t="n"/>
      <c r="L104" s="20" t="n"/>
      <c r="M104" s="22" t="n"/>
      <c r="N104" s="20" t="n"/>
      <c r="O104" s="28" t="n"/>
    </row>
    <row r="105">
      <c r="A105" s="28" t="n"/>
      <c r="B105" s="17">
        <f>IF($A105="","",IFERROR(INDEX(案件管理!$B:$B,MATCH($A105,案件管理!$A:$A,0)),""))</f>
        <v/>
      </c>
      <c r="C105" s="17">
        <f>IF($A105="","",IFERROR(INDEX(案件管理!$AE:$AE,MATCH($A105,案件管理!$A:$A,0)),""))</f>
        <v/>
      </c>
      <c r="D105" s="17">
        <f>IF($A105="","",IFERROR(INDEX(案件管理!$AF:$AF,MATCH($A105,案件管理!$A:$A,0)),""))</f>
        <v/>
      </c>
      <c r="E105" s="28" t="n"/>
      <c r="F105" s="23" t="n"/>
      <c r="G105" s="20" t="n"/>
      <c r="H105" s="20" t="n"/>
      <c r="I105" s="28" t="n"/>
      <c r="J105" s="28" t="n"/>
      <c r="K105" s="22" t="n"/>
      <c r="L105" s="20" t="n"/>
      <c r="M105" s="22" t="n"/>
      <c r="N105" s="20" t="n"/>
      <c r="O105" s="28" t="n"/>
    </row>
    <row r="106">
      <c r="A106" s="28" t="n"/>
      <c r="B106" s="17">
        <f>IF($A106="","",IFERROR(INDEX(案件管理!$B:$B,MATCH($A106,案件管理!$A:$A,0)),""))</f>
        <v/>
      </c>
      <c r="C106" s="17">
        <f>IF($A106="","",IFERROR(INDEX(案件管理!$AE:$AE,MATCH($A106,案件管理!$A:$A,0)),""))</f>
        <v/>
      </c>
      <c r="D106" s="17">
        <f>IF($A106="","",IFERROR(INDEX(案件管理!$AF:$AF,MATCH($A106,案件管理!$A:$A,0)),""))</f>
        <v/>
      </c>
      <c r="E106" s="28" t="n"/>
      <c r="F106" s="23" t="n"/>
      <c r="G106" s="20" t="n"/>
      <c r="H106" s="20" t="n"/>
      <c r="I106" s="28" t="n"/>
      <c r="J106" s="28" t="n"/>
      <c r="K106" s="22" t="n"/>
      <c r="L106" s="20" t="n"/>
      <c r="M106" s="22" t="n"/>
      <c r="N106" s="20" t="n"/>
      <c r="O106" s="28" t="n"/>
    </row>
    <row r="107">
      <c r="A107" s="28" t="n"/>
      <c r="B107" s="17">
        <f>IF($A107="","",IFERROR(INDEX(案件管理!$B:$B,MATCH($A107,案件管理!$A:$A,0)),""))</f>
        <v/>
      </c>
      <c r="C107" s="17">
        <f>IF($A107="","",IFERROR(INDEX(案件管理!$AE:$AE,MATCH($A107,案件管理!$A:$A,0)),""))</f>
        <v/>
      </c>
      <c r="D107" s="17">
        <f>IF($A107="","",IFERROR(INDEX(案件管理!$AF:$AF,MATCH($A107,案件管理!$A:$A,0)),""))</f>
        <v/>
      </c>
      <c r="E107" s="28" t="n"/>
      <c r="F107" s="23" t="n"/>
      <c r="G107" s="20" t="n"/>
      <c r="H107" s="20" t="n"/>
      <c r="I107" s="28" t="n"/>
      <c r="J107" s="28" t="n"/>
      <c r="K107" s="22" t="n"/>
      <c r="L107" s="20" t="n"/>
      <c r="M107" s="22" t="n"/>
      <c r="N107" s="20" t="n"/>
      <c r="O107" s="28" t="n"/>
    </row>
    <row r="108">
      <c r="A108" s="28" t="n"/>
      <c r="B108" s="17">
        <f>IF($A108="","",IFERROR(INDEX(案件管理!$B:$B,MATCH($A108,案件管理!$A:$A,0)),""))</f>
        <v/>
      </c>
      <c r="C108" s="17">
        <f>IF($A108="","",IFERROR(INDEX(案件管理!$AE:$AE,MATCH($A108,案件管理!$A:$A,0)),""))</f>
        <v/>
      </c>
      <c r="D108" s="17">
        <f>IF($A108="","",IFERROR(INDEX(案件管理!$AF:$AF,MATCH($A108,案件管理!$A:$A,0)),""))</f>
        <v/>
      </c>
      <c r="E108" s="28" t="n"/>
      <c r="F108" s="23" t="n"/>
      <c r="G108" s="20" t="n"/>
      <c r="H108" s="20" t="n"/>
      <c r="I108" s="28" t="n"/>
      <c r="J108" s="28" t="n"/>
      <c r="K108" s="22" t="n"/>
      <c r="L108" s="20" t="n"/>
      <c r="M108" s="22" t="n"/>
      <c r="N108" s="20" t="n"/>
      <c r="O108" s="28" t="n"/>
    </row>
    <row r="109">
      <c r="A109" s="28" t="n"/>
      <c r="B109" s="17">
        <f>IF($A109="","",IFERROR(INDEX(案件管理!$B:$B,MATCH($A109,案件管理!$A:$A,0)),""))</f>
        <v/>
      </c>
      <c r="C109" s="17">
        <f>IF($A109="","",IFERROR(INDEX(案件管理!$AE:$AE,MATCH($A109,案件管理!$A:$A,0)),""))</f>
        <v/>
      </c>
      <c r="D109" s="17">
        <f>IF($A109="","",IFERROR(INDEX(案件管理!$AF:$AF,MATCH($A109,案件管理!$A:$A,0)),""))</f>
        <v/>
      </c>
      <c r="E109" s="28" t="n"/>
      <c r="F109" s="23" t="n"/>
      <c r="G109" s="20" t="n"/>
      <c r="H109" s="20" t="n"/>
      <c r="I109" s="28" t="n"/>
      <c r="J109" s="28" t="n"/>
      <c r="K109" s="22" t="n"/>
      <c r="L109" s="20" t="n"/>
      <c r="M109" s="22" t="n"/>
      <c r="N109" s="20" t="n"/>
      <c r="O109" s="28" t="n"/>
    </row>
    <row r="110">
      <c r="A110" s="28" t="n"/>
      <c r="B110" s="17">
        <f>IF($A110="","",IFERROR(INDEX(案件管理!$B:$B,MATCH($A110,案件管理!$A:$A,0)),""))</f>
        <v/>
      </c>
      <c r="C110" s="17">
        <f>IF($A110="","",IFERROR(INDEX(案件管理!$AE:$AE,MATCH($A110,案件管理!$A:$A,0)),""))</f>
        <v/>
      </c>
      <c r="D110" s="17">
        <f>IF($A110="","",IFERROR(INDEX(案件管理!$AF:$AF,MATCH($A110,案件管理!$A:$A,0)),""))</f>
        <v/>
      </c>
      <c r="E110" s="28" t="n"/>
      <c r="F110" s="23" t="n"/>
      <c r="G110" s="20" t="n"/>
      <c r="H110" s="20" t="n"/>
      <c r="I110" s="28" t="n"/>
      <c r="J110" s="28" t="n"/>
      <c r="K110" s="22" t="n"/>
      <c r="L110" s="20" t="n"/>
      <c r="M110" s="22" t="n"/>
      <c r="N110" s="20" t="n"/>
      <c r="O110" s="28" t="n"/>
    </row>
    <row r="111">
      <c r="A111" s="28" t="n"/>
      <c r="B111" s="17">
        <f>IF($A111="","",IFERROR(INDEX(案件管理!$B:$B,MATCH($A111,案件管理!$A:$A,0)),""))</f>
        <v/>
      </c>
      <c r="C111" s="17">
        <f>IF($A111="","",IFERROR(INDEX(案件管理!$AE:$AE,MATCH($A111,案件管理!$A:$A,0)),""))</f>
        <v/>
      </c>
      <c r="D111" s="17">
        <f>IF($A111="","",IFERROR(INDEX(案件管理!$AF:$AF,MATCH($A111,案件管理!$A:$A,0)),""))</f>
        <v/>
      </c>
      <c r="E111" s="28" t="n"/>
      <c r="F111" s="23" t="n"/>
      <c r="G111" s="20" t="n"/>
      <c r="H111" s="20" t="n"/>
      <c r="I111" s="28" t="n"/>
      <c r="J111" s="28" t="n"/>
      <c r="K111" s="22" t="n"/>
      <c r="L111" s="20" t="n"/>
      <c r="M111" s="22" t="n"/>
      <c r="N111" s="20" t="n"/>
      <c r="O111" s="28" t="n"/>
    </row>
    <row r="112">
      <c r="A112" s="28" t="n"/>
      <c r="B112" s="17">
        <f>IF($A112="","",IFERROR(INDEX(案件管理!$B:$B,MATCH($A112,案件管理!$A:$A,0)),""))</f>
        <v/>
      </c>
      <c r="C112" s="17">
        <f>IF($A112="","",IFERROR(INDEX(案件管理!$AE:$AE,MATCH($A112,案件管理!$A:$A,0)),""))</f>
        <v/>
      </c>
      <c r="D112" s="17">
        <f>IF($A112="","",IFERROR(INDEX(案件管理!$AF:$AF,MATCH($A112,案件管理!$A:$A,0)),""))</f>
        <v/>
      </c>
      <c r="E112" s="28" t="n"/>
      <c r="F112" s="23" t="n"/>
      <c r="G112" s="20" t="n"/>
      <c r="H112" s="20" t="n"/>
      <c r="I112" s="28" t="n"/>
      <c r="J112" s="28" t="n"/>
      <c r="K112" s="22" t="n"/>
      <c r="L112" s="20" t="n"/>
      <c r="M112" s="22" t="n"/>
      <c r="N112" s="20" t="n"/>
      <c r="O112" s="28" t="n"/>
    </row>
    <row r="113">
      <c r="A113" s="28" t="n"/>
      <c r="B113" s="17">
        <f>IF($A113="","",IFERROR(INDEX(案件管理!$B:$B,MATCH($A113,案件管理!$A:$A,0)),""))</f>
        <v/>
      </c>
      <c r="C113" s="17">
        <f>IF($A113="","",IFERROR(INDEX(案件管理!$AE:$AE,MATCH($A113,案件管理!$A:$A,0)),""))</f>
        <v/>
      </c>
      <c r="D113" s="17">
        <f>IF($A113="","",IFERROR(INDEX(案件管理!$AF:$AF,MATCH($A113,案件管理!$A:$A,0)),""))</f>
        <v/>
      </c>
      <c r="E113" s="28" t="n"/>
      <c r="F113" s="23" t="n"/>
      <c r="G113" s="20" t="n"/>
      <c r="H113" s="20" t="n"/>
      <c r="I113" s="28" t="n"/>
      <c r="J113" s="28" t="n"/>
      <c r="K113" s="22" t="n"/>
      <c r="L113" s="20" t="n"/>
      <c r="M113" s="22" t="n"/>
      <c r="N113" s="20" t="n"/>
      <c r="O113" s="28" t="n"/>
    </row>
    <row r="114">
      <c r="A114" s="28" t="n"/>
      <c r="B114" s="17">
        <f>IF($A114="","",IFERROR(INDEX(案件管理!$B:$B,MATCH($A114,案件管理!$A:$A,0)),""))</f>
        <v/>
      </c>
      <c r="C114" s="17">
        <f>IF($A114="","",IFERROR(INDEX(案件管理!$AE:$AE,MATCH($A114,案件管理!$A:$A,0)),""))</f>
        <v/>
      </c>
      <c r="D114" s="17">
        <f>IF($A114="","",IFERROR(INDEX(案件管理!$AF:$AF,MATCH($A114,案件管理!$A:$A,0)),""))</f>
        <v/>
      </c>
      <c r="E114" s="28" t="n"/>
      <c r="F114" s="23" t="n"/>
      <c r="G114" s="20" t="n"/>
      <c r="H114" s="20" t="n"/>
      <c r="I114" s="28" t="n"/>
      <c r="J114" s="28" t="n"/>
      <c r="K114" s="22" t="n"/>
      <c r="L114" s="20" t="n"/>
      <c r="M114" s="22" t="n"/>
      <c r="N114" s="20" t="n"/>
      <c r="O114" s="28" t="n"/>
    </row>
    <row r="115">
      <c r="A115" s="28" t="n"/>
      <c r="B115" s="17">
        <f>IF($A115="","",IFERROR(INDEX(案件管理!$B:$B,MATCH($A115,案件管理!$A:$A,0)),""))</f>
        <v/>
      </c>
      <c r="C115" s="17">
        <f>IF($A115="","",IFERROR(INDEX(案件管理!$AE:$AE,MATCH($A115,案件管理!$A:$A,0)),""))</f>
        <v/>
      </c>
      <c r="D115" s="17">
        <f>IF($A115="","",IFERROR(INDEX(案件管理!$AF:$AF,MATCH($A115,案件管理!$A:$A,0)),""))</f>
        <v/>
      </c>
      <c r="E115" s="28" t="n"/>
      <c r="F115" s="23" t="n"/>
      <c r="G115" s="20" t="n"/>
      <c r="H115" s="20" t="n"/>
      <c r="I115" s="28" t="n"/>
      <c r="J115" s="28" t="n"/>
      <c r="K115" s="22" t="n"/>
      <c r="L115" s="20" t="n"/>
      <c r="M115" s="22" t="n"/>
      <c r="N115" s="20" t="n"/>
      <c r="O115" s="28" t="n"/>
    </row>
    <row r="116">
      <c r="A116" s="28" t="n"/>
      <c r="B116" s="17">
        <f>IF($A116="","",IFERROR(INDEX(案件管理!$B:$B,MATCH($A116,案件管理!$A:$A,0)),""))</f>
        <v/>
      </c>
      <c r="C116" s="17">
        <f>IF($A116="","",IFERROR(INDEX(案件管理!$AE:$AE,MATCH($A116,案件管理!$A:$A,0)),""))</f>
        <v/>
      </c>
      <c r="D116" s="17">
        <f>IF($A116="","",IFERROR(INDEX(案件管理!$AF:$AF,MATCH($A116,案件管理!$A:$A,0)),""))</f>
        <v/>
      </c>
      <c r="E116" s="28" t="n"/>
      <c r="F116" s="23" t="n"/>
      <c r="G116" s="20" t="n"/>
      <c r="H116" s="20" t="n"/>
      <c r="I116" s="28" t="n"/>
      <c r="J116" s="28" t="n"/>
      <c r="K116" s="22" t="n"/>
      <c r="L116" s="20" t="n"/>
      <c r="M116" s="22" t="n"/>
      <c r="N116" s="20" t="n"/>
      <c r="O116" s="28" t="n"/>
    </row>
    <row r="117">
      <c r="A117" s="28" t="n"/>
      <c r="B117" s="17">
        <f>IF($A117="","",IFERROR(INDEX(案件管理!$B:$B,MATCH($A117,案件管理!$A:$A,0)),""))</f>
        <v/>
      </c>
      <c r="C117" s="17">
        <f>IF($A117="","",IFERROR(INDEX(案件管理!$AE:$AE,MATCH($A117,案件管理!$A:$A,0)),""))</f>
        <v/>
      </c>
      <c r="D117" s="17">
        <f>IF($A117="","",IFERROR(INDEX(案件管理!$AF:$AF,MATCH($A117,案件管理!$A:$A,0)),""))</f>
        <v/>
      </c>
      <c r="E117" s="28" t="n"/>
      <c r="F117" s="23" t="n"/>
      <c r="G117" s="20" t="n"/>
      <c r="H117" s="20" t="n"/>
      <c r="I117" s="28" t="n"/>
      <c r="J117" s="28" t="n"/>
      <c r="K117" s="22" t="n"/>
      <c r="L117" s="20" t="n"/>
      <c r="M117" s="22" t="n"/>
      <c r="N117" s="20" t="n"/>
      <c r="O117" s="28" t="n"/>
    </row>
    <row r="118">
      <c r="A118" s="28" t="n"/>
      <c r="B118" s="17">
        <f>IF($A118="","",IFERROR(INDEX(案件管理!$B:$B,MATCH($A118,案件管理!$A:$A,0)),""))</f>
        <v/>
      </c>
      <c r="C118" s="17">
        <f>IF($A118="","",IFERROR(INDEX(案件管理!$AE:$AE,MATCH($A118,案件管理!$A:$A,0)),""))</f>
        <v/>
      </c>
      <c r="D118" s="17">
        <f>IF($A118="","",IFERROR(INDEX(案件管理!$AF:$AF,MATCH($A118,案件管理!$A:$A,0)),""))</f>
        <v/>
      </c>
      <c r="E118" s="28" t="n"/>
      <c r="F118" s="23" t="n"/>
      <c r="G118" s="20" t="n"/>
      <c r="H118" s="20" t="n"/>
      <c r="I118" s="28" t="n"/>
      <c r="J118" s="28" t="n"/>
      <c r="K118" s="22" t="n"/>
      <c r="L118" s="20" t="n"/>
      <c r="M118" s="22" t="n"/>
      <c r="N118" s="20" t="n"/>
      <c r="O118" s="28" t="n"/>
    </row>
    <row r="119">
      <c r="A119" s="28" t="n"/>
      <c r="B119" s="17">
        <f>IF($A119="","",IFERROR(INDEX(案件管理!$B:$B,MATCH($A119,案件管理!$A:$A,0)),""))</f>
        <v/>
      </c>
      <c r="C119" s="17">
        <f>IF($A119="","",IFERROR(INDEX(案件管理!$AE:$AE,MATCH($A119,案件管理!$A:$A,0)),""))</f>
        <v/>
      </c>
      <c r="D119" s="17">
        <f>IF($A119="","",IFERROR(INDEX(案件管理!$AF:$AF,MATCH($A119,案件管理!$A:$A,0)),""))</f>
        <v/>
      </c>
      <c r="E119" s="28" t="n"/>
      <c r="F119" s="23" t="n"/>
      <c r="G119" s="20" t="n"/>
      <c r="H119" s="20" t="n"/>
      <c r="I119" s="28" t="n"/>
      <c r="J119" s="28" t="n"/>
      <c r="K119" s="22" t="n"/>
      <c r="L119" s="20" t="n"/>
      <c r="M119" s="22" t="n"/>
      <c r="N119" s="20" t="n"/>
      <c r="O119" s="28" t="n"/>
    </row>
    <row r="120">
      <c r="A120" s="28" t="n"/>
      <c r="B120" s="17">
        <f>IF($A120="","",IFERROR(INDEX(案件管理!$B:$B,MATCH($A120,案件管理!$A:$A,0)),""))</f>
        <v/>
      </c>
      <c r="C120" s="17">
        <f>IF($A120="","",IFERROR(INDEX(案件管理!$AE:$AE,MATCH($A120,案件管理!$A:$A,0)),""))</f>
        <v/>
      </c>
      <c r="D120" s="17">
        <f>IF($A120="","",IFERROR(INDEX(案件管理!$AF:$AF,MATCH($A120,案件管理!$A:$A,0)),""))</f>
        <v/>
      </c>
      <c r="E120" s="28" t="n"/>
      <c r="F120" s="23" t="n"/>
      <c r="G120" s="20" t="n"/>
      <c r="H120" s="20" t="n"/>
      <c r="I120" s="28" t="n"/>
      <c r="J120" s="28" t="n"/>
      <c r="K120" s="22" t="n"/>
      <c r="L120" s="20" t="n"/>
      <c r="M120" s="22" t="n"/>
      <c r="N120" s="20" t="n"/>
      <c r="O120" s="28" t="n"/>
    </row>
    <row r="121">
      <c r="A121" s="28" t="n"/>
      <c r="B121" s="17">
        <f>IF($A121="","",IFERROR(INDEX(案件管理!$B:$B,MATCH($A121,案件管理!$A:$A,0)),""))</f>
        <v/>
      </c>
      <c r="C121" s="17">
        <f>IF($A121="","",IFERROR(INDEX(案件管理!$AE:$AE,MATCH($A121,案件管理!$A:$A,0)),""))</f>
        <v/>
      </c>
      <c r="D121" s="17">
        <f>IF($A121="","",IFERROR(INDEX(案件管理!$AF:$AF,MATCH($A121,案件管理!$A:$A,0)),""))</f>
        <v/>
      </c>
      <c r="E121" s="28" t="n"/>
      <c r="F121" s="23" t="n"/>
      <c r="G121" s="20" t="n"/>
      <c r="H121" s="20" t="n"/>
      <c r="I121" s="28" t="n"/>
      <c r="J121" s="28" t="n"/>
      <c r="K121" s="22" t="n"/>
      <c r="L121" s="20" t="n"/>
      <c r="M121" s="22" t="n"/>
      <c r="N121" s="20" t="n"/>
      <c r="O121" s="28" t="n"/>
    </row>
    <row r="122">
      <c r="A122" s="28" t="n"/>
      <c r="B122" s="17">
        <f>IF($A122="","",IFERROR(INDEX(案件管理!$B:$B,MATCH($A122,案件管理!$A:$A,0)),""))</f>
        <v/>
      </c>
      <c r="C122" s="17">
        <f>IF($A122="","",IFERROR(INDEX(案件管理!$AE:$AE,MATCH($A122,案件管理!$A:$A,0)),""))</f>
        <v/>
      </c>
      <c r="D122" s="17">
        <f>IF($A122="","",IFERROR(INDEX(案件管理!$AF:$AF,MATCH($A122,案件管理!$A:$A,0)),""))</f>
        <v/>
      </c>
      <c r="E122" s="28" t="n"/>
      <c r="F122" s="23" t="n"/>
      <c r="G122" s="20" t="n"/>
      <c r="H122" s="20" t="n"/>
      <c r="I122" s="28" t="n"/>
      <c r="J122" s="28" t="n"/>
      <c r="K122" s="22" t="n"/>
      <c r="L122" s="20" t="n"/>
      <c r="M122" s="22" t="n"/>
      <c r="N122" s="20" t="n"/>
      <c r="O122" s="28" t="n"/>
    </row>
    <row r="123">
      <c r="A123" s="28" t="n"/>
      <c r="B123" s="17">
        <f>IF($A123="","",IFERROR(INDEX(案件管理!$B:$B,MATCH($A123,案件管理!$A:$A,0)),""))</f>
        <v/>
      </c>
      <c r="C123" s="17">
        <f>IF($A123="","",IFERROR(INDEX(案件管理!$AE:$AE,MATCH($A123,案件管理!$A:$A,0)),""))</f>
        <v/>
      </c>
      <c r="D123" s="17">
        <f>IF($A123="","",IFERROR(INDEX(案件管理!$AF:$AF,MATCH($A123,案件管理!$A:$A,0)),""))</f>
        <v/>
      </c>
      <c r="E123" s="28" t="n"/>
      <c r="F123" s="23" t="n"/>
      <c r="G123" s="20" t="n"/>
      <c r="H123" s="20" t="n"/>
      <c r="I123" s="28" t="n"/>
      <c r="J123" s="28" t="n"/>
      <c r="K123" s="22" t="n"/>
      <c r="L123" s="20" t="n"/>
      <c r="M123" s="22" t="n"/>
      <c r="N123" s="20" t="n"/>
      <c r="O123" s="28" t="n"/>
    </row>
    <row r="124">
      <c r="A124" s="28" t="n"/>
      <c r="B124" s="17">
        <f>IF($A124="","",IFERROR(INDEX(案件管理!$B:$B,MATCH($A124,案件管理!$A:$A,0)),""))</f>
        <v/>
      </c>
      <c r="C124" s="17">
        <f>IF($A124="","",IFERROR(INDEX(案件管理!$AE:$AE,MATCH($A124,案件管理!$A:$A,0)),""))</f>
        <v/>
      </c>
      <c r="D124" s="17">
        <f>IF($A124="","",IFERROR(INDEX(案件管理!$AF:$AF,MATCH($A124,案件管理!$A:$A,0)),""))</f>
        <v/>
      </c>
      <c r="E124" s="28" t="n"/>
      <c r="F124" s="23" t="n"/>
      <c r="G124" s="20" t="n"/>
      <c r="H124" s="20" t="n"/>
      <c r="I124" s="28" t="n"/>
      <c r="J124" s="28" t="n"/>
      <c r="K124" s="22" t="n"/>
      <c r="L124" s="20" t="n"/>
      <c r="M124" s="22" t="n"/>
      <c r="N124" s="20" t="n"/>
      <c r="O124" s="28" t="n"/>
    </row>
    <row r="125">
      <c r="A125" s="28" t="n"/>
      <c r="B125" s="17">
        <f>IF($A125="","",IFERROR(INDEX(案件管理!$B:$B,MATCH($A125,案件管理!$A:$A,0)),""))</f>
        <v/>
      </c>
      <c r="C125" s="17">
        <f>IF($A125="","",IFERROR(INDEX(案件管理!$AE:$AE,MATCH($A125,案件管理!$A:$A,0)),""))</f>
        <v/>
      </c>
      <c r="D125" s="17">
        <f>IF($A125="","",IFERROR(INDEX(案件管理!$AF:$AF,MATCH($A125,案件管理!$A:$A,0)),""))</f>
        <v/>
      </c>
      <c r="E125" s="28" t="n"/>
      <c r="F125" s="23" t="n"/>
      <c r="G125" s="20" t="n"/>
      <c r="H125" s="20" t="n"/>
      <c r="I125" s="28" t="n"/>
      <c r="J125" s="28" t="n"/>
      <c r="K125" s="22" t="n"/>
      <c r="L125" s="20" t="n"/>
      <c r="M125" s="22" t="n"/>
      <c r="N125" s="20" t="n"/>
      <c r="O125" s="28" t="n"/>
    </row>
    <row r="126">
      <c r="A126" s="28" t="n"/>
      <c r="B126" s="17">
        <f>IF($A126="","",IFERROR(INDEX(案件管理!$B:$B,MATCH($A126,案件管理!$A:$A,0)),""))</f>
        <v/>
      </c>
      <c r="C126" s="17">
        <f>IF($A126="","",IFERROR(INDEX(案件管理!$AE:$AE,MATCH($A126,案件管理!$A:$A,0)),""))</f>
        <v/>
      </c>
      <c r="D126" s="17">
        <f>IF($A126="","",IFERROR(INDEX(案件管理!$AF:$AF,MATCH($A126,案件管理!$A:$A,0)),""))</f>
        <v/>
      </c>
      <c r="E126" s="28" t="n"/>
      <c r="F126" s="23" t="n"/>
      <c r="G126" s="20" t="n"/>
      <c r="H126" s="20" t="n"/>
      <c r="I126" s="28" t="n"/>
      <c r="J126" s="28" t="n"/>
      <c r="K126" s="22" t="n"/>
      <c r="L126" s="20" t="n"/>
      <c r="M126" s="22" t="n"/>
      <c r="N126" s="20" t="n"/>
      <c r="O126" s="28" t="n"/>
    </row>
    <row r="127">
      <c r="A127" s="28" t="n"/>
      <c r="B127" s="17">
        <f>IF($A127="","",IFERROR(INDEX(案件管理!$B:$B,MATCH($A127,案件管理!$A:$A,0)),""))</f>
        <v/>
      </c>
      <c r="C127" s="17">
        <f>IF($A127="","",IFERROR(INDEX(案件管理!$AE:$AE,MATCH($A127,案件管理!$A:$A,0)),""))</f>
        <v/>
      </c>
      <c r="D127" s="17">
        <f>IF($A127="","",IFERROR(INDEX(案件管理!$AF:$AF,MATCH($A127,案件管理!$A:$A,0)),""))</f>
        <v/>
      </c>
      <c r="E127" s="28" t="n"/>
      <c r="F127" s="23" t="n"/>
      <c r="G127" s="20" t="n"/>
      <c r="H127" s="20" t="n"/>
      <c r="I127" s="28" t="n"/>
      <c r="J127" s="28" t="n"/>
      <c r="K127" s="22" t="n"/>
      <c r="L127" s="20" t="n"/>
      <c r="M127" s="22" t="n"/>
      <c r="N127" s="20" t="n"/>
      <c r="O127" s="28" t="n"/>
    </row>
    <row r="128">
      <c r="A128" s="28" t="n"/>
      <c r="B128" s="17">
        <f>IF($A128="","",IFERROR(INDEX(案件管理!$B:$B,MATCH($A128,案件管理!$A:$A,0)),""))</f>
        <v/>
      </c>
      <c r="C128" s="17">
        <f>IF($A128="","",IFERROR(INDEX(案件管理!$AE:$AE,MATCH($A128,案件管理!$A:$A,0)),""))</f>
        <v/>
      </c>
      <c r="D128" s="17">
        <f>IF($A128="","",IFERROR(INDEX(案件管理!$AF:$AF,MATCH($A128,案件管理!$A:$A,0)),""))</f>
        <v/>
      </c>
      <c r="E128" s="28" t="n"/>
      <c r="F128" s="23" t="n"/>
      <c r="G128" s="20" t="n"/>
      <c r="H128" s="20" t="n"/>
      <c r="I128" s="28" t="n"/>
      <c r="J128" s="28" t="n"/>
      <c r="K128" s="22" t="n"/>
      <c r="L128" s="20" t="n"/>
      <c r="M128" s="22" t="n"/>
      <c r="N128" s="20" t="n"/>
      <c r="O128" s="28" t="n"/>
    </row>
    <row r="129">
      <c r="A129" s="28" t="n"/>
      <c r="B129" s="17">
        <f>IF($A129="","",IFERROR(INDEX(案件管理!$B:$B,MATCH($A129,案件管理!$A:$A,0)),""))</f>
        <v/>
      </c>
      <c r="C129" s="17">
        <f>IF($A129="","",IFERROR(INDEX(案件管理!$AE:$AE,MATCH($A129,案件管理!$A:$A,0)),""))</f>
        <v/>
      </c>
      <c r="D129" s="17">
        <f>IF($A129="","",IFERROR(INDEX(案件管理!$AF:$AF,MATCH($A129,案件管理!$A:$A,0)),""))</f>
        <v/>
      </c>
      <c r="E129" s="28" t="n"/>
      <c r="F129" s="23" t="n"/>
      <c r="G129" s="20" t="n"/>
      <c r="H129" s="20" t="n"/>
      <c r="I129" s="28" t="n"/>
      <c r="J129" s="28" t="n"/>
      <c r="K129" s="22" t="n"/>
      <c r="L129" s="20" t="n"/>
      <c r="M129" s="22" t="n"/>
      <c r="N129" s="20" t="n"/>
      <c r="O129" s="28" t="n"/>
    </row>
    <row r="130">
      <c r="A130" s="28" t="n"/>
      <c r="B130" s="17">
        <f>IF($A130="","",IFERROR(INDEX(案件管理!$B:$B,MATCH($A130,案件管理!$A:$A,0)),""))</f>
        <v/>
      </c>
      <c r="C130" s="17">
        <f>IF($A130="","",IFERROR(INDEX(案件管理!$AE:$AE,MATCH($A130,案件管理!$A:$A,0)),""))</f>
        <v/>
      </c>
      <c r="D130" s="17">
        <f>IF($A130="","",IFERROR(INDEX(案件管理!$AF:$AF,MATCH($A130,案件管理!$A:$A,0)),""))</f>
        <v/>
      </c>
      <c r="E130" s="28" t="n"/>
      <c r="F130" s="23" t="n"/>
      <c r="G130" s="20" t="n"/>
      <c r="H130" s="20" t="n"/>
      <c r="I130" s="28" t="n"/>
      <c r="J130" s="28" t="n"/>
      <c r="K130" s="22" t="n"/>
      <c r="L130" s="20" t="n"/>
      <c r="M130" s="22" t="n"/>
      <c r="N130" s="20" t="n"/>
      <c r="O130" s="28" t="n"/>
    </row>
    <row r="131">
      <c r="A131" s="28" t="n"/>
      <c r="B131" s="17">
        <f>IF($A131="","",IFERROR(INDEX(案件管理!$B:$B,MATCH($A131,案件管理!$A:$A,0)),""))</f>
        <v/>
      </c>
      <c r="C131" s="17">
        <f>IF($A131="","",IFERROR(INDEX(案件管理!$AE:$AE,MATCH($A131,案件管理!$A:$A,0)),""))</f>
        <v/>
      </c>
      <c r="D131" s="17">
        <f>IF($A131="","",IFERROR(INDEX(案件管理!$AF:$AF,MATCH($A131,案件管理!$A:$A,0)),""))</f>
        <v/>
      </c>
      <c r="E131" s="28" t="n"/>
      <c r="F131" s="23" t="n"/>
      <c r="G131" s="20" t="n"/>
      <c r="H131" s="20" t="n"/>
      <c r="I131" s="28" t="n"/>
      <c r="J131" s="28" t="n"/>
      <c r="K131" s="22" t="n"/>
      <c r="L131" s="20" t="n"/>
      <c r="M131" s="22" t="n"/>
      <c r="N131" s="20" t="n"/>
      <c r="O131" s="28" t="n"/>
    </row>
    <row r="132">
      <c r="A132" s="28" t="n"/>
      <c r="B132" s="17">
        <f>IF($A132="","",IFERROR(INDEX(案件管理!$B:$B,MATCH($A132,案件管理!$A:$A,0)),""))</f>
        <v/>
      </c>
      <c r="C132" s="17">
        <f>IF($A132="","",IFERROR(INDEX(案件管理!$AE:$AE,MATCH($A132,案件管理!$A:$A,0)),""))</f>
        <v/>
      </c>
      <c r="D132" s="17">
        <f>IF($A132="","",IFERROR(INDEX(案件管理!$AF:$AF,MATCH($A132,案件管理!$A:$A,0)),""))</f>
        <v/>
      </c>
      <c r="E132" s="28" t="n"/>
      <c r="F132" s="23" t="n"/>
      <c r="G132" s="20" t="n"/>
      <c r="H132" s="20" t="n"/>
      <c r="I132" s="28" t="n"/>
      <c r="J132" s="28" t="n"/>
      <c r="K132" s="22" t="n"/>
      <c r="L132" s="20" t="n"/>
      <c r="M132" s="22" t="n"/>
      <c r="N132" s="20" t="n"/>
      <c r="O132" s="28" t="n"/>
    </row>
    <row r="133">
      <c r="A133" s="28" t="n"/>
      <c r="B133" s="17">
        <f>IF($A133="","",IFERROR(INDEX(案件管理!$B:$B,MATCH($A133,案件管理!$A:$A,0)),""))</f>
        <v/>
      </c>
      <c r="C133" s="17">
        <f>IF($A133="","",IFERROR(INDEX(案件管理!$AE:$AE,MATCH($A133,案件管理!$A:$A,0)),""))</f>
        <v/>
      </c>
      <c r="D133" s="17">
        <f>IF($A133="","",IFERROR(INDEX(案件管理!$AF:$AF,MATCH($A133,案件管理!$A:$A,0)),""))</f>
        <v/>
      </c>
      <c r="E133" s="28" t="n"/>
      <c r="F133" s="23" t="n"/>
      <c r="G133" s="20" t="n"/>
      <c r="H133" s="20" t="n"/>
      <c r="I133" s="28" t="n"/>
      <c r="J133" s="28" t="n"/>
      <c r="K133" s="22" t="n"/>
      <c r="L133" s="20" t="n"/>
      <c r="M133" s="22" t="n"/>
      <c r="N133" s="20" t="n"/>
      <c r="O133" s="28" t="n"/>
    </row>
    <row r="134">
      <c r="A134" s="28" t="n"/>
      <c r="B134" s="17">
        <f>IF($A134="","",IFERROR(INDEX(案件管理!$B:$B,MATCH($A134,案件管理!$A:$A,0)),""))</f>
        <v/>
      </c>
      <c r="C134" s="17">
        <f>IF($A134="","",IFERROR(INDEX(案件管理!$AE:$AE,MATCH($A134,案件管理!$A:$A,0)),""))</f>
        <v/>
      </c>
      <c r="D134" s="17">
        <f>IF($A134="","",IFERROR(INDEX(案件管理!$AF:$AF,MATCH($A134,案件管理!$A:$A,0)),""))</f>
        <v/>
      </c>
      <c r="E134" s="28" t="n"/>
      <c r="F134" s="23" t="n"/>
      <c r="G134" s="20" t="n"/>
      <c r="H134" s="20" t="n"/>
      <c r="I134" s="28" t="n"/>
      <c r="J134" s="28" t="n"/>
      <c r="K134" s="22" t="n"/>
      <c r="L134" s="20" t="n"/>
      <c r="M134" s="22" t="n"/>
      <c r="N134" s="20" t="n"/>
      <c r="O134" s="28" t="n"/>
    </row>
    <row r="135">
      <c r="A135" s="28" t="n"/>
      <c r="B135" s="17">
        <f>IF($A135="","",IFERROR(INDEX(案件管理!$B:$B,MATCH($A135,案件管理!$A:$A,0)),""))</f>
        <v/>
      </c>
      <c r="C135" s="17">
        <f>IF($A135="","",IFERROR(INDEX(案件管理!$AE:$AE,MATCH($A135,案件管理!$A:$A,0)),""))</f>
        <v/>
      </c>
      <c r="D135" s="17">
        <f>IF($A135="","",IFERROR(INDEX(案件管理!$AF:$AF,MATCH($A135,案件管理!$A:$A,0)),""))</f>
        <v/>
      </c>
      <c r="E135" s="28" t="n"/>
      <c r="F135" s="23" t="n"/>
      <c r="G135" s="20" t="n"/>
      <c r="H135" s="20" t="n"/>
      <c r="I135" s="28" t="n"/>
      <c r="J135" s="28" t="n"/>
      <c r="K135" s="22" t="n"/>
      <c r="L135" s="20" t="n"/>
      <c r="M135" s="22" t="n"/>
      <c r="N135" s="20" t="n"/>
      <c r="O135" s="28" t="n"/>
    </row>
    <row r="136">
      <c r="A136" s="28" t="n"/>
      <c r="B136" s="17">
        <f>IF($A136="","",IFERROR(INDEX(案件管理!$B:$B,MATCH($A136,案件管理!$A:$A,0)),""))</f>
        <v/>
      </c>
      <c r="C136" s="17">
        <f>IF($A136="","",IFERROR(INDEX(案件管理!$AE:$AE,MATCH($A136,案件管理!$A:$A,0)),""))</f>
        <v/>
      </c>
      <c r="D136" s="17">
        <f>IF($A136="","",IFERROR(INDEX(案件管理!$AF:$AF,MATCH($A136,案件管理!$A:$A,0)),""))</f>
        <v/>
      </c>
      <c r="E136" s="28" t="n"/>
      <c r="F136" s="23" t="n"/>
      <c r="G136" s="20" t="n"/>
      <c r="H136" s="20" t="n"/>
      <c r="I136" s="28" t="n"/>
      <c r="J136" s="28" t="n"/>
      <c r="K136" s="22" t="n"/>
      <c r="L136" s="20" t="n"/>
      <c r="M136" s="22" t="n"/>
      <c r="N136" s="20" t="n"/>
      <c r="O136" s="28" t="n"/>
    </row>
    <row r="137">
      <c r="A137" s="28" t="n"/>
      <c r="B137" s="17">
        <f>IF($A137="","",IFERROR(INDEX(案件管理!$B:$B,MATCH($A137,案件管理!$A:$A,0)),""))</f>
        <v/>
      </c>
      <c r="C137" s="17">
        <f>IF($A137="","",IFERROR(INDEX(案件管理!$AE:$AE,MATCH($A137,案件管理!$A:$A,0)),""))</f>
        <v/>
      </c>
      <c r="D137" s="17">
        <f>IF($A137="","",IFERROR(INDEX(案件管理!$AF:$AF,MATCH($A137,案件管理!$A:$A,0)),""))</f>
        <v/>
      </c>
      <c r="E137" s="28" t="n"/>
      <c r="F137" s="23" t="n"/>
      <c r="G137" s="20" t="n"/>
      <c r="H137" s="20" t="n"/>
      <c r="I137" s="28" t="n"/>
      <c r="J137" s="28" t="n"/>
      <c r="K137" s="22" t="n"/>
      <c r="L137" s="20" t="n"/>
      <c r="M137" s="22" t="n"/>
      <c r="N137" s="20" t="n"/>
      <c r="O137" s="28" t="n"/>
    </row>
    <row r="138">
      <c r="A138" s="28" t="n"/>
      <c r="B138" s="17">
        <f>IF($A138="","",IFERROR(INDEX(案件管理!$B:$B,MATCH($A138,案件管理!$A:$A,0)),""))</f>
        <v/>
      </c>
      <c r="C138" s="17">
        <f>IF($A138="","",IFERROR(INDEX(案件管理!$AE:$AE,MATCH($A138,案件管理!$A:$A,0)),""))</f>
        <v/>
      </c>
      <c r="D138" s="17">
        <f>IF($A138="","",IFERROR(INDEX(案件管理!$AF:$AF,MATCH($A138,案件管理!$A:$A,0)),""))</f>
        <v/>
      </c>
      <c r="E138" s="28" t="n"/>
      <c r="F138" s="23" t="n"/>
      <c r="G138" s="20" t="n"/>
      <c r="H138" s="20" t="n"/>
      <c r="I138" s="28" t="n"/>
      <c r="J138" s="28" t="n"/>
      <c r="K138" s="22" t="n"/>
      <c r="L138" s="20" t="n"/>
      <c r="M138" s="22" t="n"/>
      <c r="N138" s="20" t="n"/>
      <c r="O138" s="28" t="n"/>
    </row>
    <row r="139">
      <c r="A139" s="28" t="n"/>
      <c r="B139" s="17">
        <f>IF($A139="","",IFERROR(INDEX(案件管理!$B:$B,MATCH($A139,案件管理!$A:$A,0)),""))</f>
        <v/>
      </c>
      <c r="C139" s="17">
        <f>IF($A139="","",IFERROR(INDEX(案件管理!$AE:$AE,MATCH($A139,案件管理!$A:$A,0)),""))</f>
        <v/>
      </c>
      <c r="D139" s="17">
        <f>IF($A139="","",IFERROR(INDEX(案件管理!$AF:$AF,MATCH($A139,案件管理!$A:$A,0)),""))</f>
        <v/>
      </c>
      <c r="E139" s="28" t="n"/>
      <c r="F139" s="23" t="n"/>
      <c r="G139" s="20" t="n"/>
      <c r="H139" s="20" t="n"/>
      <c r="I139" s="28" t="n"/>
      <c r="J139" s="28" t="n"/>
      <c r="K139" s="22" t="n"/>
      <c r="L139" s="20" t="n"/>
      <c r="M139" s="22" t="n"/>
      <c r="N139" s="20" t="n"/>
      <c r="O139" s="28" t="n"/>
    </row>
    <row r="140">
      <c r="A140" s="28" t="n"/>
      <c r="B140" s="17">
        <f>IF($A140="","",IFERROR(INDEX(案件管理!$B:$B,MATCH($A140,案件管理!$A:$A,0)),""))</f>
        <v/>
      </c>
      <c r="C140" s="17">
        <f>IF($A140="","",IFERROR(INDEX(案件管理!$AE:$AE,MATCH($A140,案件管理!$A:$A,0)),""))</f>
        <v/>
      </c>
      <c r="D140" s="17">
        <f>IF($A140="","",IFERROR(INDEX(案件管理!$AF:$AF,MATCH($A140,案件管理!$A:$A,0)),""))</f>
        <v/>
      </c>
      <c r="E140" s="28" t="n"/>
      <c r="F140" s="23" t="n"/>
      <c r="G140" s="20" t="n"/>
      <c r="H140" s="20" t="n"/>
      <c r="I140" s="28" t="n"/>
      <c r="J140" s="28" t="n"/>
      <c r="K140" s="22" t="n"/>
      <c r="L140" s="20" t="n"/>
      <c r="M140" s="22" t="n"/>
      <c r="N140" s="20" t="n"/>
      <c r="O140" s="28" t="n"/>
    </row>
    <row r="141">
      <c r="A141" s="28" t="n"/>
      <c r="B141" s="17">
        <f>IF($A141="","",IFERROR(INDEX(案件管理!$B:$B,MATCH($A141,案件管理!$A:$A,0)),""))</f>
        <v/>
      </c>
      <c r="C141" s="17">
        <f>IF($A141="","",IFERROR(INDEX(案件管理!$AE:$AE,MATCH($A141,案件管理!$A:$A,0)),""))</f>
        <v/>
      </c>
      <c r="D141" s="17">
        <f>IF($A141="","",IFERROR(INDEX(案件管理!$AF:$AF,MATCH($A141,案件管理!$A:$A,0)),""))</f>
        <v/>
      </c>
      <c r="E141" s="28" t="n"/>
      <c r="F141" s="23" t="n"/>
      <c r="G141" s="20" t="n"/>
      <c r="H141" s="20" t="n"/>
      <c r="I141" s="28" t="n"/>
      <c r="J141" s="28" t="n"/>
      <c r="K141" s="22" t="n"/>
      <c r="L141" s="20" t="n"/>
      <c r="M141" s="22" t="n"/>
      <c r="N141" s="20" t="n"/>
      <c r="O141" s="28" t="n"/>
    </row>
    <row r="142">
      <c r="A142" s="28" t="n"/>
      <c r="B142" s="17">
        <f>IF($A142="","",IFERROR(INDEX(案件管理!$B:$B,MATCH($A142,案件管理!$A:$A,0)),""))</f>
        <v/>
      </c>
      <c r="C142" s="17">
        <f>IF($A142="","",IFERROR(INDEX(案件管理!$AE:$AE,MATCH($A142,案件管理!$A:$A,0)),""))</f>
        <v/>
      </c>
      <c r="D142" s="17">
        <f>IF($A142="","",IFERROR(INDEX(案件管理!$AF:$AF,MATCH($A142,案件管理!$A:$A,0)),""))</f>
        <v/>
      </c>
      <c r="E142" s="28" t="n"/>
      <c r="F142" s="23" t="n"/>
      <c r="G142" s="20" t="n"/>
      <c r="H142" s="20" t="n"/>
      <c r="I142" s="28" t="n"/>
      <c r="J142" s="28" t="n"/>
      <c r="K142" s="22" t="n"/>
      <c r="L142" s="20" t="n"/>
      <c r="M142" s="22" t="n"/>
      <c r="N142" s="20" t="n"/>
      <c r="O142" s="28" t="n"/>
    </row>
    <row r="143">
      <c r="A143" s="28" t="n"/>
      <c r="B143" s="17">
        <f>IF($A143="","",IFERROR(INDEX(案件管理!$B:$B,MATCH($A143,案件管理!$A:$A,0)),""))</f>
        <v/>
      </c>
      <c r="C143" s="17">
        <f>IF($A143="","",IFERROR(INDEX(案件管理!$AE:$AE,MATCH($A143,案件管理!$A:$A,0)),""))</f>
        <v/>
      </c>
      <c r="D143" s="17">
        <f>IF($A143="","",IFERROR(INDEX(案件管理!$AF:$AF,MATCH($A143,案件管理!$A:$A,0)),""))</f>
        <v/>
      </c>
      <c r="E143" s="28" t="n"/>
      <c r="F143" s="23" t="n"/>
      <c r="G143" s="20" t="n"/>
      <c r="H143" s="20" t="n"/>
      <c r="I143" s="28" t="n"/>
      <c r="J143" s="28" t="n"/>
      <c r="K143" s="22" t="n"/>
      <c r="L143" s="20" t="n"/>
      <c r="M143" s="22" t="n"/>
      <c r="N143" s="20" t="n"/>
      <c r="O143" s="28" t="n"/>
    </row>
    <row r="144">
      <c r="A144" s="28" t="n"/>
      <c r="B144" s="17">
        <f>IF($A144="","",IFERROR(INDEX(案件管理!$B:$B,MATCH($A144,案件管理!$A:$A,0)),""))</f>
        <v/>
      </c>
      <c r="C144" s="17">
        <f>IF($A144="","",IFERROR(INDEX(案件管理!$AE:$AE,MATCH($A144,案件管理!$A:$A,0)),""))</f>
        <v/>
      </c>
      <c r="D144" s="17">
        <f>IF($A144="","",IFERROR(INDEX(案件管理!$AF:$AF,MATCH($A144,案件管理!$A:$A,0)),""))</f>
        <v/>
      </c>
      <c r="E144" s="28" t="n"/>
      <c r="F144" s="23" t="n"/>
      <c r="G144" s="20" t="n"/>
      <c r="H144" s="20" t="n"/>
      <c r="I144" s="28" t="n"/>
      <c r="J144" s="28" t="n"/>
      <c r="K144" s="22" t="n"/>
      <c r="L144" s="20" t="n"/>
      <c r="M144" s="22" t="n"/>
      <c r="N144" s="20" t="n"/>
      <c r="O144" s="28" t="n"/>
    </row>
    <row r="145">
      <c r="A145" s="28" t="n"/>
      <c r="B145" s="17">
        <f>IF($A145="","",IFERROR(INDEX(案件管理!$B:$B,MATCH($A145,案件管理!$A:$A,0)),""))</f>
        <v/>
      </c>
      <c r="C145" s="17">
        <f>IF($A145="","",IFERROR(INDEX(案件管理!$AE:$AE,MATCH($A145,案件管理!$A:$A,0)),""))</f>
        <v/>
      </c>
      <c r="D145" s="17">
        <f>IF($A145="","",IFERROR(INDEX(案件管理!$AF:$AF,MATCH($A145,案件管理!$A:$A,0)),""))</f>
        <v/>
      </c>
      <c r="E145" s="28" t="n"/>
      <c r="F145" s="23" t="n"/>
      <c r="G145" s="20" t="n"/>
      <c r="H145" s="20" t="n"/>
      <c r="I145" s="28" t="n"/>
      <c r="J145" s="28" t="n"/>
      <c r="K145" s="22" t="n"/>
      <c r="L145" s="20" t="n"/>
      <c r="M145" s="22" t="n"/>
      <c r="N145" s="20" t="n"/>
      <c r="O145" s="28" t="n"/>
    </row>
    <row r="146">
      <c r="A146" s="28" t="n"/>
      <c r="B146" s="17">
        <f>IF($A146="","",IFERROR(INDEX(案件管理!$B:$B,MATCH($A146,案件管理!$A:$A,0)),""))</f>
        <v/>
      </c>
      <c r="C146" s="17">
        <f>IF($A146="","",IFERROR(INDEX(案件管理!$AE:$AE,MATCH($A146,案件管理!$A:$A,0)),""))</f>
        <v/>
      </c>
      <c r="D146" s="17">
        <f>IF($A146="","",IFERROR(INDEX(案件管理!$AF:$AF,MATCH($A146,案件管理!$A:$A,0)),""))</f>
        <v/>
      </c>
      <c r="E146" s="28" t="n"/>
      <c r="F146" s="23" t="n"/>
      <c r="G146" s="20" t="n"/>
      <c r="H146" s="20" t="n"/>
      <c r="I146" s="28" t="n"/>
      <c r="J146" s="28" t="n"/>
      <c r="K146" s="22" t="n"/>
      <c r="L146" s="20" t="n"/>
      <c r="M146" s="22" t="n"/>
      <c r="N146" s="20" t="n"/>
      <c r="O146" s="28" t="n"/>
    </row>
    <row r="147">
      <c r="A147" s="28" t="n"/>
      <c r="B147" s="17">
        <f>IF($A147="","",IFERROR(INDEX(案件管理!$B:$B,MATCH($A147,案件管理!$A:$A,0)),""))</f>
        <v/>
      </c>
      <c r="C147" s="17">
        <f>IF($A147="","",IFERROR(INDEX(案件管理!$AE:$AE,MATCH($A147,案件管理!$A:$A,0)),""))</f>
        <v/>
      </c>
      <c r="D147" s="17">
        <f>IF($A147="","",IFERROR(INDEX(案件管理!$AF:$AF,MATCH($A147,案件管理!$A:$A,0)),""))</f>
        <v/>
      </c>
      <c r="E147" s="28" t="n"/>
      <c r="F147" s="23" t="n"/>
      <c r="G147" s="20" t="n"/>
      <c r="H147" s="20" t="n"/>
      <c r="I147" s="28" t="n"/>
      <c r="J147" s="28" t="n"/>
      <c r="K147" s="22" t="n"/>
      <c r="L147" s="20" t="n"/>
      <c r="M147" s="22" t="n"/>
      <c r="N147" s="20" t="n"/>
      <c r="O147" s="28" t="n"/>
    </row>
    <row r="148">
      <c r="A148" s="28" t="n"/>
      <c r="B148" s="17">
        <f>IF($A148="","",IFERROR(INDEX(案件管理!$B:$B,MATCH($A148,案件管理!$A:$A,0)),""))</f>
        <v/>
      </c>
      <c r="C148" s="17">
        <f>IF($A148="","",IFERROR(INDEX(案件管理!$AE:$AE,MATCH($A148,案件管理!$A:$A,0)),""))</f>
        <v/>
      </c>
      <c r="D148" s="17">
        <f>IF($A148="","",IFERROR(INDEX(案件管理!$AF:$AF,MATCH($A148,案件管理!$A:$A,0)),""))</f>
        <v/>
      </c>
      <c r="E148" s="28" t="n"/>
      <c r="F148" s="23" t="n"/>
      <c r="G148" s="20" t="n"/>
      <c r="H148" s="20" t="n"/>
      <c r="I148" s="28" t="n"/>
      <c r="J148" s="28" t="n"/>
      <c r="K148" s="22" t="n"/>
      <c r="L148" s="20" t="n"/>
      <c r="M148" s="22" t="n"/>
      <c r="N148" s="20" t="n"/>
      <c r="O148" s="28" t="n"/>
    </row>
    <row r="149">
      <c r="A149" s="28" t="n"/>
      <c r="B149" s="17">
        <f>IF($A149="","",IFERROR(INDEX(案件管理!$B:$B,MATCH($A149,案件管理!$A:$A,0)),""))</f>
        <v/>
      </c>
      <c r="C149" s="17">
        <f>IF($A149="","",IFERROR(INDEX(案件管理!$AE:$AE,MATCH($A149,案件管理!$A:$A,0)),""))</f>
        <v/>
      </c>
      <c r="D149" s="17">
        <f>IF($A149="","",IFERROR(INDEX(案件管理!$AF:$AF,MATCH($A149,案件管理!$A:$A,0)),""))</f>
        <v/>
      </c>
      <c r="E149" s="28" t="n"/>
      <c r="F149" s="23" t="n"/>
      <c r="G149" s="20" t="n"/>
      <c r="H149" s="20" t="n"/>
      <c r="I149" s="28" t="n"/>
      <c r="J149" s="28" t="n"/>
      <c r="K149" s="22" t="n"/>
      <c r="L149" s="20" t="n"/>
      <c r="M149" s="22" t="n"/>
      <c r="N149" s="20" t="n"/>
      <c r="O149" s="28" t="n"/>
    </row>
    <row r="150">
      <c r="A150" s="28" t="n"/>
      <c r="B150" s="17">
        <f>IF($A150="","",IFERROR(INDEX(案件管理!$B:$B,MATCH($A150,案件管理!$A:$A,0)),""))</f>
        <v/>
      </c>
      <c r="C150" s="17">
        <f>IF($A150="","",IFERROR(INDEX(案件管理!$AE:$AE,MATCH($A150,案件管理!$A:$A,0)),""))</f>
        <v/>
      </c>
      <c r="D150" s="17">
        <f>IF($A150="","",IFERROR(INDEX(案件管理!$AF:$AF,MATCH($A150,案件管理!$A:$A,0)),""))</f>
        <v/>
      </c>
      <c r="E150" s="28" t="n"/>
      <c r="F150" s="23" t="n"/>
      <c r="G150" s="20" t="n"/>
      <c r="H150" s="20" t="n"/>
      <c r="I150" s="28" t="n"/>
      <c r="J150" s="28" t="n"/>
      <c r="K150" s="22" t="n"/>
      <c r="L150" s="20" t="n"/>
      <c r="M150" s="22" t="n"/>
      <c r="N150" s="20" t="n"/>
      <c r="O150" s="28" t="n"/>
    </row>
    <row r="151">
      <c r="A151" s="28" t="n"/>
      <c r="B151" s="17">
        <f>IF($A151="","",IFERROR(INDEX(案件管理!$B:$B,MATCH($A151,案件管理!$A:$A,0)),""))</f>
        <v/>
      </c>
      <c r="C151" s="17">
        <f>IF($A151="","",IFERROR(INDEX(案件管理!$AE:$AE,MATCH($A151,案件管理!$A:$A,0)),""))</f>
        <v/>
      </c>
      <c r="D151" s="17">
        <f>IF($A151="","",IFERROR(INDEX(案件管理!$AF:$AF,MATCH($A151,案件管理!$A:$A,0)),""))</f>
        <v/>
      </c>
      <c r="E151" s="28" t="n"/>
      <c r="F151" s="23" t="n"/>
      <c r="G151" s="20" t="n"/>
      <c r="H151" s="20" t="n"/>
      <c r="I151" s="28" t="n"/>
      <c r="J151" s="28" t="n"/>
      <c r="K151" s="22" t="n"/>
      <c r="L151" s="20" t="n"/>
      <c r="M151" s="22" t="n"/>
      <c r="N151" s="20" t="n"/>
      <c r="O151" s="28" t="n"/>
    </row>
    <row r="152">
      <c r="A152" s="28" t="n"/>
      <c r="B152" s="17">
        <f>IF($A152="","",IFERROR(INDEX(案件管理!$B:$B,MATCH($A152,案件管理!$A:$A,0)),""))</f>
        <v/>
      </c>
      <c r="C152" s="17">
        <f>IF($A152="","",IFERROR(INDEX(案件管理!$AE:$AE,MATCH($A152,案件管理!$A:$A,0)),""))</f>
        <v/>
      </c>
      <c r="D152" s="17">
        <f>IF($A152="","",IFERROR(INDEX(案件管理!$AF:$AF,MATCH($A152,案件管理!$A:$A,0)),""))</f>
        <v/>
      </c>
      <c r="E152" s="28" t="n"/>
      <c r="F152" s="23" t="n"/>
      <c r="G152" s="20" t="n"/>
      <c r="H152" s="20" t="n"/>
      <c r="I152" s="28" t="n"/>
      <c r="J152" s="28" t="n"/>
      <c r="K152" s="22" t="n"/>
      <c r="L152" s="20" t="n"/>
      <c r="M152" s="22" t="n"/>
      <c r="N152" s="20" t="n"/>
      <c r="O152" s="28" t="n"/>
    </row>
    <row r="153">
      <c r="A153" s="28" t="n"/>
      <c r="B153" s="17">
        <f>IF($A153="","",IFERROR(INDEX(案件管理!$B:$B,MATCH($A153,案件管理!$A:$A,0)),""))</f>
        <v/>
      </c>
      <c r="C153" s="17">
        <f>IF($A153="","",IFERROR(INDEX(案件管理!$AE:$AE,MATCH($A153,案件管理!$A:$A,0)),""))</f>
        <v/>
      </c>
      <c r="D153" s="17">
        <f>IF($A153="","",IFERROR(INDEX(案件管理!$AF:$AF,MATCH($A153,案件管理!$A:$A,0)),""))</f>
        <v/>
      </c>
      <c r="E153" s="28" t="n"/>
      <c r="F153" s="23" t="n"/>
      <c r="G153" s="20" t="n"/>
      <c r="H153" s="20" t="n"/>
      <c r="I153" s="28" t="n"/>
      <c r="J153" s="28" t="n"/>
      <c r="K153" s="22" t="n"/>
      <c r="L153" s="20" t="n"/>
      <c r="M153" s="22" t="n"/>
      <c r="N153" s="20" t="n"/>
      <c r="O153" s="28" t="n"/>
    </row>
    <row r="154">
      <c r="A154" s="28" t="n"/>
      <c r="B154" s="17">
        <f>IF($A154="","",IFERROR(INDEX(案件管理!$B:$B,MATCH($A154,案件管理!$A:$A,0)),""))</f>
        <v/>
      </c>
      <c r="C154" s="17">
        <f>IF($A154="","",IFERROR(INDEX(案件管理!$AE:$AE,MATCH($A154,案件管理!$A:$A,0)),""))</f>
        <v/>
      </c>
      <c r="D154" s="17">
        <f>IF($A154="","",IFERROR(INDEX(案件管理!$AF:$AF,MATCH($A154,案件管理!$A:$A,0)),""))</f>
        <v/>
      </c>
      <c r="E154" s="28" t="n"/>
      <c r="F154" s="23" t="n"/>
      <c r="G154" s="20" t="n"/>
      <c r="H154" s="20" t="n"/>
      <c r="I154" s="28" t="n"/>
      <c r="J154" s="28" t="n"/>
      <c r="K154" s="22" t="n"/>
      <c r="L154" s="20" t="n"/>
      <c r="M154" s="22" t="n"/>
      <c r="N154" s="20" t="n"/>
      <c r="O154" s="28" t="n"/>
    </row>
    <row r="155">
      <c r="A155" s="28" t="n"/>
      <c r="B155" s="17">
        <f>IF($A155="","",IFERROR(INDEX(案件管理!$B:$B,MATCH($A155,案件管理!$A:$A,0)),""))</f>
        <v/>
      </c>
      <c r="C155" s="17">
        <f>IF($A155="","",IFERROR(INDEX(案件管理!$AE:$AE,MATCH($A155,案件管理!$A:$A,0)),""))</f>
        <v/>
      </c>
      <c r="D155" s="17">
        <f>IF($A155="","",IFERROR(INDEX(案件管理!$AF:$AF,MATCH($A155,案件管理!$A:$A,0)),""))</f>
        <v/>
      </c>
      <c r="E155" s="28" t="n"/>
      <c r="F155" s="23" t="n"/>
      <c r="G155" s="20" t="n"/>
      <c r="H155" s="20" t="n"/>
      <c r="I155" s="28" t="n"/>
      <c r="J155" s="28" t="n"/>
      <c r="K155" s="22" t="n"/>
      <c r="L155" s="20" t="n"/>
      <c r="M155" s="22" t="n"/>
      <c r="N155" s="20" t="n"/>
      <c r="O155" s="28" t="n"/>
    </row>
    <row r="156">
      <c r="A156" s="28" t="n"/>
      <c r="B156" s="17">
        <f>IF($A156="","",IFERROR(INDEX(案件管理!$B:$B,MATCH($A156,案件管理!$A:$A,0)),""))</f>
        <v/>
      </c>
      <c r="C156" s="17">
        <f>IF($A156="","",IFERROR(INDEX(案件管理!$AE:$AE,MATCH($A156,案件管理!$A:$A,0)),""))</f>
        <v/>
      </c>
      <c r="D156" s="17">
        <f>IF($A156="","",IFERROR(INDEX(案件管理!$AF:$AF,MATCH($A156,案件管理!$A:$A,0)),""))</f>
        <v/>
      </c>
      <c r="E156" s="28" t="n"/>
      <c r="F156" s="23" t="n"/>
      <c r="G156" s="20" t="n"/>
      <c r="H156" s="20" t="n"/>
      <c r="I156" s="28" t="n"/>
      <c r="J156" s="28" t="n"/>
      <c r="K156" s="22" t="n"/>
      <c r="L156" s="20" t="n"/>
      <c r="M156" s="22" t="n"/>
      <c r="N156" s="20" t="n"/>
      <c r="O156" s="28" t="n"/>
    </row>
    <row r="157">
      <c r="A157" s="28" t="n"/>
      <c r="B157" s="17">
        <f>IF($A157="","",IFERROR(INDEX(案件管理!$B:$B,MATCH($A157,案件管理!$A:$A,0)),""))</f>
        <v/>
      </c>
      <c r="C157" s="17">
        <f>IF($A157="","",IFERROR(INDEX(案件管理!$AE:$AE,MATCH($A157,案件管理!$A:$A,0)),""))</f>
        <v/>
      </c>
      <c r="D157" s="17">
        <f>IF($A157="","",IFERROR(INDEX(案件管理!$AF:$AF,MATCH($A157,案件管理!$A:$A,0)),""))</f>
        <v/>
      </c>
      <c r="E157" s="28" t="n"/>
      <c r="F157" s="23" t="n"/>
      <c r="G157" s="20" t="n"/>
      <c r="H157" s="20" t="n"/>
      <c r="I157" s="28" t="n"/>
      <c r="J157" s="28" t="n"/>
      <c r="K157" s="22" t="n"/>
      <c r="L157" s="20" t="n"/>
      <c r="M157" s="22" t="n"/>
      <c r="N157" s="20" t="n"/>
      <c r="O157" s="28" t="n"/>
    </row>
    <row r="158">
      <c r="A158" s="28" t="n"/>
      <c r="B158" s="17">
        <f>IF($A158="","",IFERROR(INDEX(案件管理!$B:$B,MATCH($A158,案件管理!$A:$A,0)),""))</f>
        <v/>
      </c>
      <c r="C158" s="17">
        <f>IF($A158="","",IFERROR(INDEX(案件管理!$AE:$AE,MATCH($A158,案件管理!$A:$A,0)),""))</f>
        <v/>
      </c>
      <c r="D158" s="17">
        <f>IF($A158="","",IFERROR(INDEX(案件管理!$AF:$AF,MATCH($A158,案件管理!$A:$A,0)),""))</f>
        <v/>
      </c>
      <c r="E158" s="28" t="n"/>
      <c r="F158" s="23" t="n"/>
      <c r="G158" s="20" t="n"/>
      <c r="H158" s="20" t="n"/>
      <c r="I158" s="28" t="n"/>
      <c r="J158" s="28" t="n"/>
      <c r="K158" s="22" t="n"/>
      <c r="L158" s="20" t="n"/>
      <c r="M158" s="22" t="n"/>
      <c r="N158" s="20" t="n"/>
      <c r="O158" s="28" t="n"/>
    </row>
    <row r="159">
      <c r="A159" s="28" t="n"/>
      <c r="B159" s="17">
        <f>IF($A159="","",IFERROR(INDEX(案件管理!$B:$B,MATCH($A159,案件管理!$A:$A,0)),""))</f>
        <v/>
      </c>
      <c r="C159" s="17">
        <f>IF($A159="","",IFERROR(INDEX(案件管理!$AE:$AE,MATCH($A159,案件管理!$A:$A,0)),""))</f>
        <v/>
      </c>
      <c r="D159" s="17">
        <f>IF($A159="","",IFERROR(INDEX(案件管理!$AF:$AF,MATCH($A159,案件管理!$A:$A,0)),""))</f>
        <v/>
      </c>
      <c r="E159" s="28" t="n"/>
      <c r="F159" s="23" t="n"/>
      <c r="G159" s="20" t="n"/>
      <c r="H159" s="20" t="n"/>
      <c r="I159" s="28" t="n"/>
      <c r="J159" s="28" t="n"/>
      <c r="K159" s="22" t="n"/>
      <c r="L159" s="20" t="n"/>
      <c r="M159" s="22" t="n"/>
      <c r="N159" s="20" t="n"/>
      <c r="O159" s="28" t="n"/>
    </row>
    <row r="160">
      <c r="A160" s="28" t="n"/>
      <c r="B160" s="17">
        <f>IF($A160="","",IFERROR(INDEX(案件管理!$B:$B,MATCH($A160,案件管理!$A:$A,0)),""))</f>
        <v/>
      </c>
      <c r="C160" s="17">
        <f>IF($A160="","",IFERROR(INDEX(案件管理!$AE:$AE,MATCH($A160,案件管理!$A:$A,0)),""))</f>
        <v/>
      </c>
      <c r="D160" s="17">
        <f>IF($A160="","",IFERROR(INDEX(案件管理!$AF:$AF,MATCH($A160,案件管理!$A:$A,0)),""))</f>
        <v/>
      </c>
      <c r="E160" s="28" t="n"/>
      <c r="F160" s="23" t="n"/>
      <c r="G160" s="20" t="n"/>
      <c r="H160" s="20" t="n"/>
      <c r="I160" s="28" t="n"/>
      <c r="J160" s="28" t="n"/>
      <c r="K160" s="22" t="n"/>
      <c r="L160" s="20" t="n"/>
      <c r="M160" s="22" t="n"/>
      <c r="N160" s="20" t="n"/>
      <c r="O160" s="28" t="n"/>
    </row>
    <row r="161">
      <c r="A161" s="28" t="n"/>
      <c r="B161" s="17">
        <f>IF($A161="","",IFERROR(INDEX(案件管理!$B:$B,MATCH($A161,案件管理!$A:$A,0)),""))</f>
        <v/>
      </c>
      <c r="C161" s="17">
        <f>IF($A161="","",IFERROR(INDEX(案件管理!$AE:$AE,MATCH($A161,案件管理!$A:$A,0)),""))</f>
        <v/>
      </c>
      <c r="D161" s="17">
        <f>IF($A161="","",IFERROR(INDEX(案件管理!$AF:$AF,MATCH($A161,案件管理!$A:$A,0)),""))</f>
        <v/>
      </c>
      <c r="E161" s="28" t="n"/>
      <c r="F161" s="23" t="n"/>
      <c r="G161" s="20" t="n"/>
      <c r="H161" s="20" t="n"/>
      <c r="I161" s="28" t="n"/>
      <c r="J161" s="28" t="n"/>
      <c r="K161" s="22" t="n"/>
      <c r="L161" s="20" t="n"/>
      <c r="M161" s="22" t="n"/>
      <c r="N161" s="20" t="n"/>
      <c r="O161" s="28" t="n"/>
    </row>
    <row r="162">
      <c r="A162" s="28" t="n"/>
      <c r="B162" s="17">
        <f>IF($A162="","",IFERROR(INDEX(案件管理!$B:$B,MATCH($A162,案件管理!$A:$A,0)),""))</f>
        <v/>
      </c>
      <c r="C162" s="17">
        <f>IF($A162="","",IFERROR(INDEX(案件管理!$AE:$AE,MATCH($A162,案件管理!$A:$A,0)),""))</f>
        <v/>
      </c>
      <c r="D162" s="17">
        <f>IF($A162="","",IFERROR(INDEX(案件管理!$AF:$AF,MATCH($A162,案件管理!$A:$A,0)),""))</f>
        <v/>
      </c>
      <c r="E162" s="28" t="n"/>
      <c r="F162" s="23" t="n"/>
      <c r="G162" s="20" t="n"/>
      <c r="H162" s="20" t="n"/>
      <c r="I162" s="28" t="n"/>
      <c r="J162" s="28" t="n"/>
      <c r="K162" s="22" t="n"/>
      <c r="L162" s="20" t="n"/>
      <c r="M162" s="22" t="n"/>
      <c r="N162" s="20" t="n"/>
      <c r="O162" s="28" t="n"/>
    </row>
    <row r="163">
      <c r="A163" s="28" t="n"/>
      <c r="B163" s="17">
        <f>IF($A163="","",IFERROR(INDEX(案件管理!$B:$B,MATCH($A163,案件管理!$A:$A,0)),""))</f>
        <v/>
      </c>
      <c r="C163" s="17">
        <f>IF($A163="","",IFERROR(INDEX(案件管理!$AE:$AE,MATCH($A163,案件管理!$A:$A,0)),""))</f>
        <v/>
      </c>
      <c r="D163" s="17">
        <f>IF($A163="","",IFERROR(INDEX(案件管理!$AF:$AF,MATCH($A163,案件管理!$A:$A,0)),""))</f>
        <v/>
      </c>
      <c r="E163" s="28" t="n"/>
      <c r="F163" s="23" t="n"/>
      <c r="G163" s="20" t="n"/>
      <c r="H163" s="20" t="n"/>
      <c r="I163" s="28" t="n"/>
      <c r="J163" s="28" t="n"/>
      <c r="K163" s="22" t="n"/>
      <c r="L163" s="20" t="n"/>
      <c r="M163" s="22" t="n"/>
      <c r="N163" s="20" t="n"/>
      <c r="O163" s="28" t="n"/>
    </row>
    <row r="164">
      <c r="A164" s="28" t="n"/>
      <c r="B164" s="17">
        <f>IF($A164="","",IFERROR(INDEX(案件管理!$B:$B,MATCH($A164,案件管理!$A:$A,0)),""))</f>
        <v/>
      </c>
      <c r="C164" s="17">
        <f>IF($A164="","",IFERROR(INDEX(案件管理!$AE:$AE,MATCH($A164,案件管理!$A:$A,0)),""))</f>
        <v/>
      </c>
      <c r="D164" s="17">
        <f>IF($A164="","",IFERROR(INDEX(案件管理!$AF:$AF,MATCH($A164,案件管理!$A:$A,0)),""))</f>
        <v/>
      </c>
      <c r="E164" s="28" t="n"/>
      <c r="F164" s="23" t="n"/>
      <c r="G164" s="20" t="n"/>
      <c r="H164" s="20" t="n"/>
      <c r="I164" s="28" t="n"/>
      <c r="J164" s="28" t="n"/>
      <c r="K164" s="22" t="n"/>
      <c r="L164" s="20" t="n"/>
      <c r="M164" s="22" t="n"/>
      <c r="N164" s="20" t="n"/>
      <c r="O164" s="28" t="n"/>
    </row>
    <row r="165">
      <c r="A165" s="28" t="n"/>
      <c r="B165" s="17">
        <f>IF($A165="","",IFERROR(INDEX(案件管理!$B:$B,MATCH($A165,案件管理!$A:$A,0)),""))</f>
        <v/>
      </c>
      <c r="C165" s="17">
        <f>IF($A165="","",IFERROR(INDEX(案件管理!$AE:$AE,MATCH($A165,案件管理!$A:$A,0)),""))</f>
        <v/>
      </c>
      <c r="D165" s="17">
        <f>IF($A165="","",IFERROR(INDEX(案件管理!$AF:$AF,MATCH($A165,案件管理!$A:$A,0)),""))</f>
        <v/>
      </c>
      <c r="E165" s="28" t="n"/>
      <c r="F165" s="23" t="n"/>
      <c r="G165" s="20" t="n"/>
      <c r="H165" s="20" t="n"/>
      <c r="I165" s="28" t="n"/>
      <c r="J165" s="28" t="n"/>
      <c r="K165" s="22" t="n"/>
      <c r="L165" s="20" t="n"/>
      <c r="M165" s="22" t="n"/>
      <c r="N165" s="20" t="n"/>
      <c r="O165" s="28" t="n"/>
    </row>
    <row r="166">
      <c r="A166" s="28" t="n"/>
      <c r="B166" s="17">
        <f>IF($A166="","",IFERROR(INDEX(案件管理!$B:$B,MATCH($A166,案件管理!$A:$A,0)),""))</f>
        <v/>
      </c>
      <c r="C166" s="17">
        <f>IF($A166="","",IFERROR(INDEX(案件管理!$AE:$AE,MATCH($A166,案件管理!$A:$A,0)),""))</f>
        <v/>
      </c>
      <c r="D166" s="17">
        <f>IF($A166="","",IFERROR(INDEX(案件管理!$AF:$AF,MATCH($A166,案件管理!$A:$A,0)),""))</f>
        <v/>
      </c>
      <c r="E166" s="28" t="n"/>
      <c r="F166" s="23" t="n"/>
      <c r="G166" s="20" t="n"/>
      <c r="H166" s="20" t="n"/>
      <c r="I166" s="28" t="n"/>
      <c r="J166" s="28" t="n"/>
      <c r="K166" s="22" t="n"/>
      <c r="L166" s="20" t="n"/>
      <c r="M166" s="22" t="n"/>
      <c r="N166" s="20" t="n"/>
      <c r="O166" s="28" t="n"/>
    </row>
    <row r="167">
      <c r="A167" s="28" t="n"/>
      <c r="B167" s="17">
        <f>IF($A167="","",IFERROR(INDEX(案件管理!$B:$B,MATCH($A167,案件管理!$A:$A,0)),""))</f>
        <v/>
      </c>
      <c r="C167" s="17">
        <f>IF($A167="","",IFERROR(INDEX(案件管理!$AE:$AE,MATCH($A167,案件管理!$A:$A,0)),""))</f>
        <v/>
      </c>
      <c r="D167" s="17">
        <f>IF($A167="","",IFERROR(INDEX(案件管理!$AF:$AF,MATCH($A167,案件管理!$A:$A,0)),""))</f>
        <v/>
      </c>
      <c r="E167" s="28" t="n"/>
      <c r="F167" s="23" t="n"/>
      <c r="G167" s="20" t="n"/>
      <c r="H167" s="20" t="n"/>
      <c r="I167" s="28" t="n"/>
      <c r="J167" s="28" t="n"/>
      <c r="K167" s="22" t="n"/>
      <c r="L167" s="20" t="n"/>
      <c r="M167" s="22" t="n"/>
      <c r="N167" s="20" t="n"/>
      <c r="O167" s="28" t="n"/>
    </row>
    <row r="168">
      <c r="A168" s="28" t="n"/>
      <c r="B168" s="17">
        <f>IF($A168="","",IFERROR(INDEX(案件管理!$B:$B,MATCH($A168,案件管理!$A:$A,0)),""))</f>
        <v/>
      </c>
      <c r="C168" s="17">
        <f>IF($A168="","",IFERROR(INDEX(案件管理!$AE:$AE,MATCH($A168,案件管理!$A:$A,0)),""))</f>
        <v/>
      </c>
      <c r="D168" s="17">
        <f>IF($A168="","",IFERROR(INDEX(案件管理!$AF:$AF,MATCH($A168,案件管理!$A:$A,0)),""))</f>
        <v/>
      </c>
      <c r="E168" s="28" t="n"/>
      <c r="F168" s="23" t="n"/>
      <c r="G168" s="20" t="n"/>
      <c r="H168" s="20" t="n"/>
      <c r="I168" s="28" t="n"/>
      <c r="J168" s="28" t="n"/>
      <c r="K168" s="22" t="n"/>
      <c r="L168" s="20" t="n"/>
      <c r="M168" s="22" t="n"/>
      <c r="N168" s="20" t="n"/>
      <c r="O168" s="28" t="n"/>
    </row>
    <row r="169">
      <c r="A169" s="28" t="n"/>
      <c r="B169" s="17">
        <f>IF($A169="","",IFERROR(INDEX(案件管理!$B:$B,MATCH($A169,案件管理!$A:$A,0)),""))</f>
        <v/>
      </c>
      <c r="C169" s="17">
        <f>IF($A169="","",IFERROR(INDEX(案件管理!$AE:$AE,MATCH($A169,案件管理!$A:$A,0)),""))</f>
        <v/>
      </c>
      <c r="D169" s="17">
        <f>IF($A169="","",IFERROR(INDEX(案件管理!$AF:$AF,MATCH($A169,案件管理!$A:$A,0)),""))</f>
        <v/>
      </c>
      <c r="E169" s="28" t="n"/>
      <c r="F169" s="23" t="n"/>
      <c r="G169" s="20" t="n"/>
      <c r="H169" s="20" t="n"/>
      <c r="I169" s="28" t="n"/>
      <c r="J169" s="28" t="n"/>
      <c r="K169" s="22" t="n"/>
      <c r="L169" s="20" t="n"/>
      <c r="M169" s="22" t="n"/>
      <c r="N169" s="20" t="n"/>
      <c r="O169" s="28" t="n"/>
    </row>
    <row r="170">
      <c r="A170" s="28" t="n"/>
      <c r="B170" s="17">
        <f>IF($A170="","",IFERROR(INDEX(案件管理!$B:$B,MATCH($A170,案件管理!$A:$A,0)),""))</f>
        <v/>
      </c>
      <c r="C170" s="17">
        <f>IF($A170="","",IFERROR(INDEX(案件管理!$AE:$AE,MATCH($A170,案件管理!$A:$A,0)),""))</f>
        <v/>
      </c>
      <c r="D170" s="17">
        <f>IF($A170="","",IFERROR(INDEX(案件管理!$AF:$AF,MATCH($A170,案件管理!$A:$A,0)),""))</f>
        <v/>
      </c>
      <c r="E170" s="28" t="n"/>
      <c r="F170" s="23" t="n"/>
      <c r="G170" s="20" t="n"/>
      <c r="H170" s="20" t="n"/>
      <c r="I170" s="28" t="n"/>
      <c r="J170" s="28" t="n"/>
      <c r="K170" s="22" t="n"/>
      <c r="L170" s="20" t="n"/>
      <c r="M170" s="22" t="n"/>
      <c r="N170" s="20" t="n"/>
      <c r="O170" s="28" t="n"/>
    </row>
    <row r="171">
      <c r="A171" s="28" t="n"/>
      <c r="B171" s="17">
        <f>IF($A171="","",IFERROR(INDEX(案件管理!$B:$B,MATCH($A171,案件管理!$A:$A,0)),""))</f>
        <v/>
      </c>
      <c r="C171" s="17">
        <f>IF($A171="","",IFERROR(INDEX(案件管理!$AE:$AE,MATCH($A171,案件管理!$A:$A,0)),""))</f>
        <v/>
      </c>
      <c r="D171" s="17">
        <f>IF($A171="","",IFERROR(INDEX(案件管理!$AF:$AF,MATCH($A171,案件管理!$A:$A,0)),""))</f>
        <v/>
      </c>
      <c r="E171" s="28" t="n"/>
      <c r="F171" s="23" t="n"/>
      <c r="G171" s="20" t="n"/>
      <c r="H171" s="20" t="n"/>
      <c r="I171" s="28" t="n"/>
      <c r="J171" s="28" t="n"/>
      <c r="K171" s="22" t="n"/>
      <c r="L171" s="20" t="n"/>
      <c r="M171" s="22" t="n"/>
      <c r="N171" s="20" t="n"/>
      <c r="O171" s="28" t="n"/>
    </row>
    <row r="172">
      <c r="A172" s="28" t="n"/>
      <c r="B172" s="17">
        <f>IF($A172="","",IFERROR(INDEX(案件管理!$B:$B,MATCH($A172,案件管理!$A:$A,0)),""))</f>
        <v/>
      </c>
      <c r="C172" s="17">
        <f>IF($A172="","",IFERROR(INDEX(案件管理!$AE:$AE,MATCH($A172,案件管理!$A:$A,0)),""))</f>
        <v/>
      </c>
      <c r="D172" s="17">
        <f>IF($A172="","",IFERROR(INDEX(案件管理!$AF:$AF,MATCH($A172,案件管理!$A:$A,0)),""))</f>
        <v/>
      </c>
      <c r="E172" s="28" t="n"/>
      <c r="F172" s="23" t="n"/>
      <c r="G172" s="20" t="n"/>
      <c r="H172" s="20" t="n"/>
      <c r="I172" s="28" t="n"/>
      <c r="J172" s="28" t="n"/>
      <c r="K172" s="22" t="n"/>
      <c r="L172" s="20" t="n"/>
      <c r="M172" s="22" t="n"/>
      <c r="N172" s="20" t="n"/>
      <c r="O172" s="28" t="n"/>
    </row>
    <row r="173">
      <c r="A173" s="28" t="n"/>
      <c r="B173" s="17">
        <f>IF($A173="","",IFERROR(INDEX(案件管理!$B:$B,MATCH($A173,案件管理!$A:$A,0)),""))</f>
        <v/>
      </c>
      <c r="C173" s="17">
        <f>IF($A173="","",IFERROR(INDEX(案件管理!$AE:$AE,MATCH($A173,案件管理!$A:$A,0)),""))</f>
        <v/>
      </c>
      <c r="D173" s="17">
        <f>IF($A173="","",IFERROR(INDEX(案件管理!$AF:$AF,MATCH($A173,案件管理!$A:$A,0)),""))</f>
        <v/>
      </c>
      <c r="E173" s="28" t="n"/>
      <c r="F173" s="23" t="n"/>
      <c r="G173" s="20" t="n"/>
      <c r="H173" s="20" t="n"/>
      <c r="I173" s="28" t="n"/>
      <c r="J173" s="28" t="n"/>
      <c r="K173" s="22" t="n"/>
      <c r="L173" s="20" t="n"/>
      <c r="M173" s="22" t="n"/>
      <c r="N173" s="20" t="n"/>
      <c r="O173" s="28" t="n"/>
    </row>
    <row r="174">
      <c r="A174" s="28" t="n"/>
      <c r="B174" s="17">
        <f>IF($A174="","",IFERROR(INDEX(案件管理!$B:$B,MATCH($A174,案件管理!$A:$A,0)),""))</f>
        <v/>
      </c>
      <c r="C174" s="17">
        <f>IF($A174="","",IFERROR(INDEX(案件管理!$AE:$AE,MATCH($A174,案件管理!$A:$A,0)),""))</f>
        <v/>
      </c>
      <c r="D174" s="17">
        <f>IF($A174="","",IFERROR(INDEX(案件管理!$AF:$AF,MATCH($A174,案件管理!$A:$A,0)),""))</f>
        <v/>
      </c>
      <c r="E174" s="28" t="n"/>
      <c r="F174" s="23" t="n"/>
      <c r="G174" s="20" t="n"/>
      <c r="H174" s="20" t="n"/>
      <c r="I174" s="28" t="n"/>
      <c r="J174" s="28" t="n"/>
      <c r="K174" s="22" t="n"/>
      <c r="L174" s="20" t="n"/>
      <c r="M174" s="22" t="n"/>
      <c r="N174" s="20" t="n"/>
      <c r="O174" s="28" t="n"/>
    </row>
    <row r="175">
      <c r="A175" s="28" t="n"/>
      <c r="B175" s="17">
        <f>IF($A175="","",IFERROR(INDEX(案件管理!$B:$B,MATCH($A175,案件管理!$A:$A,0)),""))</f>
        <v/>
      </c>
      <c r="C175" s="17">
        <f>IF($A175="","",IFERROR(INDEX(案件管理!$AE:$AE,MATCH($A175,案件管理!$A:$A,0)),""))</f>
        <v/>
      </c>
      <c r="D175" s="17">
        <f>IF($A175="","",IFERROR(INDEX(案件管理!$AF:$AF,MATCH($A175,案件管理!$A:$A,0)),""))</f>
        <v/>
      </c>
      <c r="E175" s="28" t="n"/>
      <c r="F175" s="23" t="n"/>
      <c r="G175" s="20" t="n"/>
      <c r="H175" s="20" t="n"/>
      <c r="I175" s="28" t="n"/>
      <c r="J175" s="28" t="n"/>
      <c r="K175" s="22" t="n"/>
      <c r="L175" s="20" t="n"/>
      <c r="M175" s="22" t="n"/>
      <c r="N175" s="20" t="n"/>
      <c r="O175" s="28" t="n"/>
    </row>
    <row r="176">
      <c r="A176" s="28" t="n"/>
      <c r="B176" s="17">
        <f>IF($A176="","",IFERROR(INDEX(案件管理!$B:$B,MATCH($A176,案件管理!$A:$A,0)),""))</f>
        <v/>
      </c>
      <c r="C176" s="17">
        <f>IF($A176="","",IFERROR(INDEX(案件管理!$AE:$AE,MATCH($A176,案件管理!$A:$A,0)),""))</f>
        <v/>
      </c>
      <c r="D176" s="17">
        <f>IF($A176="","",IFERROR(INDEX(案件管理!$AF:$AF,MATCH($A176,案件管理!$A:$A,0)),""))</f>
        <v/>
      </c>
      <c r="E176" s="28" t="n"/>
      <c r="F176" s="23" t="n"/>
      <c r="G176" s="20" t="n"/>
      <c r="H176" s="20" t="n"/>
      <c r="I176" s="28" t="n"/>
      <c r="J176" s="28" t="n"/>
      <c r="K176" s="22" t="n"/>
      <c r="L176" s="20" t="n"/>
      <c r="M176" s="22" t="n"/>
      <c r="N176" s="20" t="n"/>
      <c r="O176" s="28" t="n"/>
    </row>
    <row r="177">
      <c r="A177" s="28" t="n"/>
      <c r="B177" s="17">
        <f>IF($A177="","",IFERROR(INDEX(案件管理!$B:$B,MATCH($A177,案件管理!$A:$A,0)),""))</f>
        <v/>
      </c>
      <c r="C177" s="17">
        <f>IF($A177="","",IFERROR(INDEX(案件管理!$AE:$AE,MATCH($A177,案件管理!$A:$A,0)),""))</f>
        <v/>
      </c>
      <c r="D177" s="17">
        <f>IF($A177="","",IFERROR(INDEX(案件管理!$AF:$AF,MATCH($A177,案件管理!$A:$A,0)),""))</f>
        <v/>
      </c>
      <c r="E177" s="28" t="n"/>
      <c r="F177" s="23" t="n"/>
      <c r="G177" s="20" t="n"/>
      <c r="H177" s="20" t="n"/>
      <c r="I177" s="28" t="n"/>
      <c r="J177" s="28" t="n"/>
      <c r="K177" s="22" t="n"/>
      <c r="L177" s="20" t="n"/>
      <c r="M177" s="22" t="n"/>
      <c r="N177" s="20" t="n"/>
      <c r="O177" s="28" t="n"/>
    </row>
    <row r="178">
      <c r="A178" s="28" t="n"/>
      <c r="B178" s="17">
        <f>IF($A178="","",IFERROR(INDEX(案件管理!$B:$B,MATCH($A178,案件管理!$A:$A,0)),""))</f>
        <v/>
      </c>
      <c r="C178" s="17">
        <f>IF($A178="","",IFERROR(INDEX(案件管理!$AE:$AE,MATCH($A178,案件管理!$A:$A,0)),""))</f>
        <v/>
      </c>
      <c r="D178" s="17">
        <f>IF($A178="","",IFERROR(INDEX(案件管理!$AF:$AF,MATCH($A178,案件管理!$A:$A,0)),""))</f>
        <v/>
      </c>
      <c r="E178" s="28" t="n"/>
      <c r="F178" s="23" t="n"/>
      <c r="G178" s="20" t="n"/>
      <c r="H178" s="20" t="n"/>
      <c r="I178" s="28" t="n"/>
      <c r="J178" s="28" t="n"/>
      <c r="K178" s="22" t="n"/>
      <c r="L178" s="20" t="n"/>
      <c r="M178" s="22" t="n"/>
      <c r="N178" s="20" t="n"/>
      <c r="O178" s="28" t="n"/>
    </row>
    <row r="179">
      <c r="A179" s="28" t="n"/>
      <c r="B179" s="17">
        <f>IF($A179="","",IFERROR(INDEX(案件管理!$B:$B,MATCH($A179,案件管理!$A:$A,0)),""))</f>
        <v/>
      </c>
      <c r="C179" s="17">
        <f>IF($A179="","",IFERROR(INDEX(案件管理!$AE:$AE,MATCH($A179,案件管理!$A:$A,0)),""))</f>
        <v/>
      </c>
      <c r="D179" s="17">
        <f>IF($A179="","",IFERROR(INDEX(案件管理!$AF:$AF,MATCH($A179,案件管理!$A:$A,0)),""))</f>
        <v/>
      </c>
      <c r="E179" s="28" t="n"/>
      <c r="F179" s="23" t="n"/>
      <c r="G179" s="20" t="n"/>
      <c r="H179" s="20" t="n"/>
      <c r="I179" s="28" t="n"/>
      <c r="J179" s="28" t="n"/>
      <c r="K179" s="22" t="n"/>
      <c r="L179" s="20" t="n"/>
      <c r="M179" s="22" t="n"/>
      <c r="N179" s="20" t="n"/>
      <c r="O179" s="28" t="n"/>
    </row>
    <row r="180">
      <c r="A180" s="28" t="n"/>
      <c r="B180" s="17">
        <f>IF($A180="","",IFERROR(INDEX(案件管理!$B:$B,MATCH($A180,案件管理!$A:$A,0)),""))</f>
        <v/>
      </c>
      <c r="C180" s="17">
        <f>IF($A180="","",IFERROR(INDEX(案件管理!$AE:$AE,MATCH($A180,案件管理!$A:$A,0)),""))</f>
        <v/>
      </c>
      <c r="D180" s="17">
        <f>IF($A180="","",IFERROR(INDEX(案件管理!$AF:$AF,MATCH($A180,案件管理!$A:$A,0)),""))</f>
        <v/>
      </c>
      <c r="E180" s="28" t="n"/>
      <c r="F180" s="23" t="n"/>
      <c r="G180" s="20" t="n"/>
      <c r="H180" s="20" t="n"/>
      <c r="I180" s="28" t="n"/>
      <c r="J180" s="28" t="n"/>
      <c r="K180" s="22" t="n"/>
      <c r="L180" s="20" t="n"/>
      <c r="M180" s="22" t="n"/>
      <c r="N180" s="20" t="n"/>
      <c r="O180" s="28" t="n"/>
    </row>
    <row r="181">
      <c r="A181" s="28" t="n"/>
      <c r="B181" s="17">
        <f>IF($A181="","",IFERROR(INDEX(案件管理!$B:$B,MATCH($A181,案件管理!$A:$A,0)),""))</f>
        <v/>
      </c>
      <c r="C181" s="17">
        <f>IF($A181="","",IFERROR(INDEX(案件管理!$AE:$AE,MATCH($A181,案件管理!$A:$A,0)),""))</f>
        <v/>
      </c>
      <c r="D181" s="17">
        <f>IF($A181="","",IFERROR(INDEX(案件管理!$AF:$AF,MATCH($A181,案件管理!$A:$A,0)),""))</f>
        <v/>
      </c>
      <c r="E181" s="28" t="n"/>
      <c r="F181" s="23" t="n"/>
      <c r="G181" s="20" t="n"/>
      <c r="H181" s="20" t="n"/>
      <c r="I181" s="28" t="n"/>
      <c r="J181" s="28" t="n"/>
      <c r="K181" s="22" t="n"/>
      <c r="L181" s="20" t="n"/>
      <c r="M181" s="22" t="n"/>
      <c r="N181" s="20" t="n"/>
      <c r="O181" s="28" t="n"/>
    </row>
    <row r="182">
      <c r="A182" s="28" t="n"/>
      <c r="B182" s="17">
        <f>IF($A182="","",IFERROR(INDEX(案件管理!$B:$B,MATCH($A182,案件管理!$A:$A,0)),""))</f>
        <v/>
      </c>
      <c r="C182" s="17">
        <f>IF($A182="","",IFERROR(INDEX(案件管理!$AE:$AE,MATCH($A182,案件管理!$A:$A,0)),""))</f>
        <v/>
      </c>
      <c r="D182" s="17">
        <f>IF($A182="","",IFERROR(INDEX(案件管理!$AF:$AF,MATCH($A182,案件管理!$A:$A,0)),""))</f>
        <v/>
      </c>
      <c r="E182" s="28" t="n"/>
      <c r="F182" s="23" t="n"/>
      <c r="G182" s="20" t="n"/>
      <c r="H182" s="20" t="n"/>
      <c r="I182" s="28" t="n"/>
      <c r="J182" s="28" t="n"/>
      <c r="K182" s="22" t="n"/>
      <c r="L182" s="20" t="n"/>
      <c r="M182" s="22" t="n"/>
      <c r="N182" s="20" t="n"/>
      <c r="O182" s="28" t="n"/>
    </row>
    <row r="183">
      <c r="A183" s="28" t="n"/>
      <c r="B183" s="17">
        <f>IF($A183="","",IFERROR(INDEX(案件管理!$B:$B,MATCH($A183,案件管理!$A:$A,0)),""))</f>
        <v/>
      </c>
      <c r="C183" s="17">
        <f>IF($A183="","",IFERROR(INDEX(案件管理!$AE:$AE,MATCH($A183,案件管理!$A:$A,0)),""))</f>
        <v/>
      </c>
      <c r="D183" s="17">
        <f>IF($A183="","",IFERROR(INDEX(案件管理!$AF:$AF,MATCH($A183,案件管理!$A:$A,0)),""))</f>
        <v/>
      </c>
      <c r="E183" s="28" t="n"/>
      <c r="F183" s="23" t="n"/>
      <c r="G183" s="20" t="n"/>
      <c r="H183" s="20" t="n"/>
      <c r="I183" s="28" t="n"/>
      <c r="J183" s="28" t="n"/>
      <c r="K183" s="22" t="n"/>
      <c r="L183" s="20" t="n"/>
      <c r="M183" s="22" t="n"/>
      <c r="N183" s="20" t="n"/>
      <c r="O183" s="28" t="n"/>
    </row>
    <row r="184">
      <c r="A184" s="28" t="n"/>
      <c r="B184" s="17">
        <f>IF($A184="","",IFERROR(INDEX(案件管理!$B:$B,MATCH($A184,案件管理!$A:$A,0)),""))</f>
        <v/>
      </c>
      <c r="C184" s="17">
        <f>IF($A184="","",IFERROR(INDEX(案件管理!$AE:$AE,MATCH($A184,案件管理!$A:$A,0)),""))</f>
        <v/>
      </c>
      <c r="D184" s="17">
        <f>IF($A184="","",IFERROR(INDEX(案件管理!$AF:$AF,MATCH($A184,案件管理!$A:$A,0)),""))</f>
        <v/>
      </c>
      <c r="E184" s="28" t="n"/>
      <c r="F184" s="23" t="n"/>
      <c r="G184" s="20" t="n"/>
      <c r="H184" s="20" t="n"/>
      <c r="I184" s="28" t="n"/>
      <c r="J184" s="28" t="n"/>
      <c r="K184" s="22" t="n"/>
      <c r="L184" s="20" t="n"/>
      <c r="M184" s="22" t="n"/>
      <c r="N184" s="20" t="n"/>
      <c r="O184" s="28" t="n"/>
    </row>
    <row r="185">
      <c r="A185" s="28" t="n"/>
      <c r="B185" s="17">
        <f>IF($A185="","",IFERROR(INDEX(案件管理!$B:$B,MATCH($A185,案件管理!$A:$A,0)),""))</f>
        <v/>
      </c>
      <c r="C185" s="17">
        <f>IF($A185="","",IFERROR(INDEX(案件管理!$AE:$AE,MATCH($A185,案件管理!$A:$A,0)),""))</f>
        <v/>
      </c>
      <c r="D185" s="17">
        <f>IF($A185="","",IFERROR(INDEX(案件管理!$AF:$AF,MATCH($A185,案件管理!$A:$A,0)),""))</f>
        <v/>
      </c>
      <c r="E185" s="28" t="n"/>
      <c r="F185" s="23" t="n"/>
      <c r="G185" s="20" t="n"/>
      <c r="H185" s="20" t="n"/>
      <c r="I185" s="28" t="n"/>
      <c r="J185" s="28" t="n"/>
      <c r="K185" s="22" t="n"/>
      <c r="L185" s="20" t="n"/>
      <c r="M185" s="22" t="n"/>
      <c r="N185" s="20" t="n"/>
      <c r="O185" s="28" t="n"/>
    </row>
    <row r="186">
      <c r="A186" s="28" t="n"/>
      <c r="B186" s="17">
        <f>IF($A186="","",IFERROR(INDEX(案件管理!$B:$B,MATCH($A186,案件管理!$A:$A,0)),""))</f>
        <v/>
      </c>
      <c r="C186" s="17">
        <f>IF($A186="","",IFERROR(INDEX(案件管理!$AE:$AE,MATCH($A186,案件管理!$A:$A,0)),""))</f>
        <v/>
      </c>
      <c r="D186" s="17">
        <f>IF($A186="","",IFERROR(INDEX(案件管理!$AF:$AF,MATCH($A186,案件管理!$A:$A,0)),""))</f>
        <v/>
      </c>
      <c r="E186" s="28" t="n"/>
      <c r="F186" s="23" t="n"/>
      <c r="G186" s="20" t="n"/>
      <c r="H186" s="20" t="n"/>
      <c r="I186" s="28" t="n"/>
      <c r="J186" s="28" t="n"/>
      <c r="K186" s="22" t="n"/>
      <c r="L186" s="20" t="n"/>
      <c r="M186" s="22" t="n"/>
      <c r="N186" s="20" t="n"/>
      <c r="O186" s="28" t="n"/>
    </row>
    <row r="187">
      <c r="A187" s="28" t="n"/>
      <c r="B187" s="17">
        <f>IF($A187="","",IFERROR(INDEX(案件管理!$B:$B,MATCH($A187,案件管理!$A:$A,0)),""))</f>
        <v/>
      </c>
      <c r="C187" s="17">
        <f>IF($A187="","",IFERROR(INDEX(案件管理!$AE:$AE,MATCH($A187,案件管理!$A:$A,0)),""))</f>
        <v/>
      </c>
      <c r="D187" s="17">
        <f>IF($A187="","",IFERROR(INDEX(案件管理!$AF:$AF,MATCH($A187,案件管理!$A:$A,0)),""))</f>
        <v/>
      </c>
      <c r="E187" s="28" t="n"/>
      <c r="F187" s="23" t="n"/>
      <c r="G187" s="20" t="n"/>
      <c r="H187" s="20" t="n"/>
      <c r="I187" s="28" t="n"/>
      <c r="J187" s="28" t="n"/>
      <c r="K187" s="22" t="n"/>
      <c r="L187" s="20" t="n"/>
      <c r="M187" s="22" t="n"/>
      <c r="N187" s="20" t="n"/>
      <c r="O187" s="28" t="n"/>
    </row>
    <row r="188">
      <c r="A188" s="28" t="n"/>
      <c r="B188" s="17">
        <f>IF($A188="","",IFERROR(INDEX(案件管理!$B:$B,MATCH($A188,案件管理!$A:$A,0)),""))</f>
        <v/>
      </c>
      <c r="C188" s="17">
        <f>IF($A188="","",IFERROR(INDEX(案件管理!$AE:$AE,MATCH($A188,案件管理!$A:$A,0)),""))</f>
        <v/>
      </c>
      <c r="D188" s="17">
        <f>IF($A188="","",IFERROR(INDEX(案件管理!$AF:$AF,MATCH($A188,案件管理!$A:$A,0)),""))</f>
        <v/>
      </c>
      <c r="E188" s="28" t="n"/>
      <c r="F188" s="23" t="n"/>
      <c r="G188" s="20" t="n"/>
      <c r="H188" s="20" t="n"/>
      <c r="I188" s="28" t="n"/>
      <c r="J188" s="28" t="n"/>
      <c r="K188" s="22" t="n"/>
      <c r="L188" s="20" t="n"/>
      <c r="M188" s="22" t="n"/>
      <c r="N188" s="20" t="n"/>
      <c r="O188" s="28" t="n"/>
    </row>
    <row r="189">
      <c r="A189" s="28" t="n"/>
      <c r="B189" s="17">
        <f>IF($A189="","",IFERROR(INDEX(案件管理!$B:$B,MATCH($A189,案件管理!$A:$A,0)),""))</f>
        <v/>
      </c>
      <c r="C189" s="17">
        <f>IF($A189="","",IFERROR(INDEX(案件管理!$AE:$AE,MATCH($A189,案件管理!$A:$A,0)),""))</f>
        <v/>
      </c>
      <c r="D189" s="17">
        <f>IF($A189="","",IFERROR(INDEX(案件管理!$AF:$AF,MATCH($A189,案件管理!$A:$A,0)),""))</f>
        <v/>
      </c>
      <c r="E189" s="28" t="n"/>
      <c r="F189" s="23" t="n"/>
      <c r="G189" s="20" t="n"/>
      <c r="H189" s="20" t="n"/>
      <c r="I189" s="28" t="n"/>
      <c r="J189" s="28" t="n"/>
      <c r="K189" s="22" t="n"/>
      <c r="L189" s="20" t="n"/>
      <c r="M189" s="22" t="n"/>
      <c r="N189" s="20" t="n"/>
      <c r="O189" s="28" t="n"/>
    </row>
    <row r="190">
      <c r="A190" s="28" t="n"/>
      <c r="B190" s="17">
        <f>IF($A190="","",IFERROR(INDEX(案件管理!$B:$B,MATCH($A190,案件管理!$A:$A,0)),""))</f>
        <v/>
      </c>
      <c r="C190" s="17">
        <f>IF($A190="","",IFERROR(INDEX(案件管理!$AE:$AE,MATCH($A190,案件管理!$A:$A,0)),""))</f>
        <v/>
      </c>
      <c r="D190" s="17">
        <f>IF($A190="","",IFERROR(INDEX(案件管理!$AF:$AF,MATCH($A190,案件管理!$A:$A,0)),""))</f>
        <v/>
      </c>
      <c r="E190" s="28" t="n"/>
      <c r="F190" s="23" t="n"/>
      <c r="G190" s="20" t="n"/>
      <c r="H190" s="20" t="n"/>
      <c r="I190" s="28" t="n"/>
      <c r="J190" s="28" t="n"/>
      <c r="K190" s="22" t="n"/>
      <c r="L190" s="20" t="n"/>
      <c r="M190" s="22" t="n"/>
      <c r="N190" s="20" t="n"/>
      <c r="O190" s="28" t="n"/>
    </row>
    <row r="191">
      <c r="A191" s="28" t="n"/>
      <c r="B191" s="17">
        <f>IF($A191="","",IFERROR(INDEX(案件管理!$B:$B,MATCH($A191,案件管理!$A:$A,0)),""))</f>
        <v/>
      </c>
      <c r="C191" s="17">
        <f>IF($A191="","",IFERROR(INDEX(案件管理!$AE:$AE,MATCH($A191,案件管理!$A:$A,0)),""))</f>
        <v/>
      </c>
      <c r="D191" s="17">
        <f>IF($A191="","",IFERROR(INDEX(案件管理!$AF:$AF,MATCH($A191,案件管理!$A:$A,0)),""))</f>
        <v/>
      </c>
      <c r="E191" s="28" t="n"/>
      <c r="F191" s="23" t="n"/>
      <c r="G191" s="20" t="n"/>
      <c r="H191" s="20" t="n"/>
      <c r="I191" s="28" t="n"/>
      <c r="J191" s="28" t="n"/>
      <c r="K191" s="22" t="n"/>
      <c r="L191" s="20" t="n"/>
      <c r="M191" s="22" t="n"/>
      <c r="N191" s="20" t="n"/>
      <c r="O191" s="28" t="n"/>
    </row>
    <row r="192">
      <c r="A192" s="28" t="n"/>
      <c r="B192" s="17">
        <f>IF($A192="","",IFERROR(INDEX(案件管理!$B:$B,MATCH($A192,案件管理!$A:$A,0)),""))</f>
        <v/>
      </c>
      <c r="C192" s="17">
        <f>IF($A192="","",IFERROR(INDEX(案件管理!$AE:$AE,MATCH($A192,案件管理!$A:$A,0)),""))</f>
        <v/>
      </c>
      <c r="D192" s="17">
        <f>IF($A192="","",IFERROR(INDEX(案件管理!$AF:$AF,MATCH($A192,案件管理!$A:$A,0)),""))</f>
        <v/>
      </c>
      <c r="E192" s="28" t="n"/>
      <c r="F192" s="23" t="n"/>
      <c r="G192" s="20" t="n"/>
      <c r="H192" s="20" t="n"/>
      <c r="I192" s="28" t="n"/>
      <c r="J192" s="28" t="n"/>
      <c r="K192" s="22" t="n"/>
      <c r="L192" s="20" t="n"/>
      <c r="M192" s="22" t="n"/>
      <c r="N192" s="20" t="n"/>
      <c r="O192" s="28" t="n"/>
    </row>
    <row r="193">
      <c r="A193" s="28" t="n"/>
      <c r="B193" s="17">
        <f>IF($A193="","",IFERROR(INDEX(案件管理!$B:$B,MATCH($A193,案件管理!$A:$A,0)),""))</f>
        <v/>
      </c>
      <c r="C193" s="17">
        <f>IF($A193="","",IFERROR(INDEX(案件管理!$AE:$AE,MATCH($A193,案件管理!$A:$A,0)),""))</f>
        <v/>
      </c>
      <c r="D193" s="17">
        <f>IF($A193="","",IFERROR(INDEX(案件管理!$AF:$AF,MATCH($A193,案件管理!$A:$A,0)),""))</f>
        <v/>
      </c>
      <c r="E193" s="28" t="n"/>
      <c r="F193" s="23" t="n"/>
      <c r="G193" s="20" t="n"/>
      <c r="H193" s="20" t="n"/>
      <c r="I193" s="28" t="n"/>
      <c r="J193" s="28" t="n"/>
      <c r="K193" s="22" t="n"/>
      <c r="L193" s="20" t="n"/>
      <c r="M193" s="22" t="n"/>
      <c r="N193" s="20" t="n"/>
      <c r="O193" s="28" t="n"/>
    </row>
    <row r="194">
      <c r="A194" s="28" t="n"/>
      <c r="B194" s="17">
        <f>IF($A194="","",IFERROR(INDEX(案件管理!$B:$B,MATCH($A194,案件管理!$A:$A,0)),""))</f>
        <v/>
      </c>
      <c r="C194" s="17">
        <f>IF($A194="","",IFERROR(INDEX(案件管理!$AE:$AE,MATCH($A194,案件管理!$A:$A,0)),""))</f>
        <v/>
      </c>
      <c r="D194" s="17">
        <f>IF($A194="","",IFERROR(INDEX(案件管理!$AF:$AF,MATCH($A194,案件管理!$A:$A,0)),""))</f>
        <v/>
      </c>
      <c r="E194" s="28" t="n"/>
      <c r="F194" s="23" t="n"/>
      <c r="G194" s="20" t="n"/>
      <c r="H194" s="20" t="n"/>
      <c r="I194" s="28" t="n"/>
      <c r="J194" s="28" t="n"/>
      <c r="K194" s="22" t="n"/>
      <c r="L194" s="20" t="n"/>
      <c r="M194" s="22" t="n"/>
      <c r="N194" s="20" t="n"/>
      <c r="O194" s="28" t="n"/>
    </row>
    <row r="195">
      <c r="A195" s="28" t="n"/>
      <c r="B195" s="17">
        <f>IF($A195="","",IFERROR(INDEX(案件管理!$B:$B,MATCH($A195,案件管理!$A:$A,0)),""))</f>
        <v/>
      </c>
      <c r="C195" s="17">
        <f>IF($A195="","",IFERROR(INDEX(案件管理!$AE:$AE,MATCH($A195,案件管理!$A:$A,0)),""))</f>
        <v/>
      </c>
      <c r="D195" s="17">
        <f>IF($A195="","",IFERROR(INDEX(案件管理!$AF:$AF,MATCH($A195,案件管理!$A:$A,0)),""))</f>
        <v/>
      </c>
      <c r="E195" s="28" t="n"/>
      <c r="F195" s="23" t="n"/>
      <c r="G195" s="20" t="n"/>
      <c r="H195" s="20" t="n"/>
      <c r="I195" s="28" t="n"/>
      <c r="J195" s="28" t="n"/>
      <c r="K195" s="22" t="n"/>
      <c r="L195" s="20" t="n"/>
      <c r="M195" s="22" t="n"/>
      <c r="N195" s="20" t="n"/>
      <c r="O195" s="28" t="n"/>
    </row>
    <row r="196">
      <c r="A196" s="28" t="n"/>
      <c r="B196" s="17">
        <f>IF($A196="","",IFERROR(INDEX(案件管理!$B:$B,MATCH($A196,案件管理!$A:$A,0)),""))</f>
        <v/>
      </c>
      <c r="C196" s="17">
        <f>IF($A196="","",IFERROR(INDEX(案件管理!$AE:$AE,MATCH($A196,案件管理!$A:$A,0)),""))</f>
        <v/>
      </c>
      <c r="D196" s="17">
        <f>IF($A196="","",IFERROR(INDEX(案件管理!$AF:$AF,MATCH($A196,案件管理!$A:$A,0)),""))</f>
        <v/>
      </c>
      <c r="E196" s="28" t="n"/>
      <c r="F196" s="23" t="n"/>
      <c r="G196" s="20" t="n"/>
      <c r="H196" s="20" t="n"/>
      <c r="I196" s="28" t="n"/>
      <c r="J196" s="28" t="n"/>
      <c r="K196" s="22" t="n"/>
      <c r="L196" s="20" t="n"/>
      <c r="M196" s="22" t="n"/>
      <c r="N196" s="20" t="n"/>
      <c r="O196" s="28" t="n"/>
    </row>
    <row r="197">
      <c r="A197" s="28" t="n"/>
      <c r="B197" s="17">
        <f>IF($A197="","",IFERROR(INDEX(案件管理!$B:$B,MATCH($A197,案件管理!$A:$A,0)),""))</f>
        <v/>
      </c>
      <c r="C197" s="17">
        <f>IF($A197="","",IFERROR(INDEX(案件管理!$AE:$AE,MATCH($A197,案件管理!$A:$A,0)),""))</f>
        <v/>
      </c>
      <c r="D197" s="17">
        <f>IF($A197="","",IFERROR(INDEX(案件管理!$AF:$AF,MATCH($A197,案件管理!$A:$A,0)),""))</f>
        <v/>
      </c>
      <c r="E197" s="28" t="n"/>
      <c r="F197" s="23" t="n"/>
      <c r="G197" s="20" t="n"/>
      <c r="H197" s="20" t="n"/>
      <c r="I197" s="28" t="n"/>
      <c r="J197" s="28" t="n"/>
      <c r="K197" s="22" t="n"/>
      <c r="L197" s="20" t="n"/>
      <c r="M197" s="22" t="n"/>
      <c r="N197" s="20" t="n"/>
      <c r="O197" s="28" t="n"/>
    </row>
    <row r="198">
      <c r="A198" s="28" t="n"/>
      <c r="B198" s="17">
        <f>IF($A198="","",IFERROR(INDEX(案件管理!$B:$B,MATCH($A198,案件管理!$A:$A,0)),""))</f>
        <v/>
      </c>
      <c r="C198" s="17">
        <f>IF($A198="","",IFERROR(INDEX(案件管理!$AE:$AE,MATCH($A198,案件管理!$A:$A,0)),""))</f>
        <v/>
      </c>
      <c r="D198" s="17">
        <f>IF($A198="","",IFERROR(INDEX(案件管理!$AF:$AF,MATCH($A198,案件管理!$A:$A,0)),""))</f>
        <v/>
      </c>
      <c r="E198" s="28" t="n"/>
      <c r="F198" s="23" t="n"/>
      <c r="G198" s="20" t="n"/>
      <c r="H198" s="20" t="n"/>
      <c r="I198" s="28" t="n"/>
      <c r="J198" s="28" t="n"/>
      <c r="K198" s="22" t="n"/>
      <c r="L198" s="20" t="n"/>
      <c r="M198" s="22" t="n"/>
      <c r="N198" s="20" t="n"/>
      <c r="O198" s="28" t="n"/>
    </row>
    <row r="199">
      <c r="A199" s="28" t="n"/>
      <c r="B199" s="17">
        <f>IF($A199="","",IFERROR(INDEX(案件管理!$B:$B,MATCH($A199,案件管理!$A:$A,0)),""))</f>
        <v/>
      </c>
      <c r="C199" s="17">
        <f>IF($A199="","",IFERROR(INDEX(案件管理!$AE:$AE,MATCH($A199,案件管理!$A:$A,0)),""))</f>
        <v/>
      </c>
      <c r="D199" s="17">
        <f>IF($A199="","",IFERROR(INDEX(案件管理!$AF:$AF,MATCH($A199,案件管理!$A:$A,0)),""))</f>
        <v/>
      </c>
      <c r="E199" s="28" t="n"/>
      <c r="F199" s="23" t="n"/>
      <c r="G199" s="20" t="n"/>
      <c r="H199" s="20" t="n"/>
      <c r="I199" s="28" t="n"/>
      <c r="J199" s="28" t="n"/>
      <c r="K199" s="22" t="n"/>
      <c r="L199" s="20" t="n"/>
      <c r="M199" s="22" t="n"/>
      <c r="N199" s="20" t="n"/>
      <c r="O199" s="28" t="n"/>
    </row>
    <row r="200">
      <c r="A200" s="28" t="n"/>
      <c r="B200" s="17">
        <f>IF($A200="","",IFERROR(INDEX(案件管理!$B:$B,MATCH($A200,案件管理!$A:$A,0)),""))</f>
        <v/>
      </c>
      <c r="C200" s="17">
        <f>IF($A200="","",IFERROR(INDEX(案件管理!$AE:$AE,MATCH($A200,案件管理!$A:$A,0)),""))</f>
        <v/>
      </c>
      <c r="D200" s="17">
        <f>IF($A200="","",IFERROR(INDEX(案件管理!$AF:$AF,MATCH($A200,案件管理!$A:$A,0)),""))</f>
        <v/>
      </c>
      <c r="E200" s="28" t="n"/>
      <c r="F200" s="23" t="n"/>
      <c r="G200" s="20" t="n"/>
      <c r="H200" s="20" t="n"/>
      <c r="I200" s="28" t="n"/>
      <c r="J200" s="28" t="n"/>
      <c r="K200" s="22" t="n"/>
      <c r="L200" s="20" t="n"/>
      <c r="M200" s="22" t="n"/>
      <c r="N200" s="20" t="n"/>
      <c r="O200" s="28" t="n"/>
    </row>
    <row r="201">
      <c r="A201" s="28" t="n"/>
      <c r="B201" s="17">
        <f>IF($A201="","",IFERROR(INDEX(案件管理!$B:$B,MATCH($A201,案件管理!$A:$A,0)),""))</f>
        <v/>
      </c>
      <c r="C201" s="17">
        <f>IF($A201="","",IFERROR(INDEX(案件管理!$AE:$AE,MATCH($A201,案件管理!$A:$A,0)),""))</f>
        <v/>
      </c>
      <c r="D201" s="17">
        <f>IF($A201="","",IFERROR(INDEX(案件管理!$AF:$AF,MATCH($A201,案件管理!$A:$A,0)),""))</f>
        <v/>
      </c>
      <c r="E201" s="28" t="n"/>
      <c r="F201" s="23" t="n"/>
      <c r="G201" s="20" t="n"/>
      <c r="H201" s="20" t="n"/>
      <c r="I201" s="28" t="n"/>
      <c r="J201" s="28" t="n"/>
      <c r="K201" s="22" t="n"/>
      <c r="L201" s="20" t="n"/>
      <c r="M201" s="22" t="n"/>
      <c r="N201" s="20" t="n"/>
      <c r="O201" s="28" t="n"/>
    </row>
    <row r="202">
      <c r="A202" s="28" t="n"/>
      <c r="B202" s="17">
        <f>IF($A202="","",IFERROR(INDEX(案件管理!$B:$B,MATCH($A202,案件管理!$A:$A,0)),""))</f>
        <v/>
      </c>
      <c r="C202" s="17">
        <f>IF($A202="","",IFERROR(INDEX(案件管理!$AE:$AE,MATCH($A202,案件管理!$A:$A,0)),""))</f>
        <v/>
      </c>
      <c r="D202" s="17">
        <f>IF($A202="","",IFERROR(INDEX(案件管理!$AF:$AF,MATCH($A202,案件管理!$A:$A,0)),""))</f>
        <v/>
      </c>
      <c r="E202" s="28" t="n"/>
      <c r="F202" s="23" t="n"/>
      <c r="G202" s="20" t="n"/>
      <c r="H202" s="20" t="n"/>
      <c r="I202" s="28" t="n"/>
      <c r="J202" s="28" t="n"/>
      <c r="K202" s="22" t="n"/>
      <c r="L202" s="20" t="n"/>
      <c r="M202" s="22" t="n"/>
      <c r="N202" s="20" t="n"/>
      <c r="O202" s="28" t="n"/>
    </row>
    <row r="203">
      <c r="A203" s="28" t="n"/>
      <c r="B203" s="17">
        <f>IF($A203="","",IFERROR(INDEX(案件管理!$B:$B,MATCH($A203,案件管理!$A:$A,0)),""))</f>
        <v/>
      </c>
      <c r="C203" s="17">
        <f>IF($A203="","",IFERROR(INDEX(案件管理!$AE:$AE,MATCH($A203,案件管理!$A:$A,0)),""))</f>
        <v/>
      </c>
      <c r="D203" s="17">
        <f>IF($A203="","",IFERROR(INDEX(案件管理!$AF:$AF,MATCH($A203,案件管理!$A:$A,0)),""))</f>
        <v/>
      </c>
      <c r="E203" s="28" t="n"/>
      <c r="F203" s="23" t="n"/>
      <c r="G203" s="20" t="n"/>
      <c r="H203" s="20" t="n"/>
      <c r="I203" s="28" t="n"/>
      <c r="J203" s="28" t="n"/>
      <c r="K203" s="22" t="n"/>
      <c r="L203" s="20" t="n"/>
      <c r="M203" s="22" t="n"/>
      <c r="N203" s="20" t="n"/>
      <c r="O203" s="28" t="n"/>
    </row>
    <row r="204">
      <c r="A204" s="28" t="n"/>
      <c r="B204" s="17">
        <f>IF($A204="","",IFERROR(INDEX(案件管理!$B:$B,MATCH($A204,案件管理!$A:$A,0)),""))</f>
        <v/>
      </c>
      <c r="C204" s="17">
        <f>IF($A204="","",IFERROR(INDEX(案件管理!$AE:$AE,MATCH($A204,案件管理!$A:$A,0)),""))</f>
        <v/>
      </c>
      <c r="D204" s="17">
        <f>IF($A204="","",IFERROR(INDEX(案件管理!$AF:$AF,MATCH($A204,案件管理!$A:$A,0)),""))</f>
        <v/>
      </c>
      <c r="E204" s="28" t="n"/>
      <c r="F204" s="23" t="n"/>
      <c r="G204" s="20" t="n"/>
      <c r="H204" s="20" t="n"/>
      <c r="I204" s="28" t="n"/>
      <c r="J204" s="28" t="n"/>
      <c r="K204" s="22" t="n"/>
      <c r="L204" s="20" t="n"/>
      <c r="M204" s="22" t="n"/>
      <c r="N204" s="20" t="n"/>
      <c r="O204" s="28" t="n"/>
    </row>
    <row r="205">
      <c r="A205" s="28" t="n"/>
      <c r="B205" s="17">
        <f>IF($A205="","",IFERROR(INDEX(案件管理!$B:$B,MATCH($A205,案件管理!$A:$A,0)),""))</f>
        <v/>
      </c>
      <c r="C205" s="17">
        <f>IF($A205="","",IFERROR(INDEX(案件管理!$AE:$AE,MATCH($A205,案件管理!$A:$A,0)),""))</f>
        <v/>
      </c>
      <c r="D205" s="17">
        <f>IF($A205="","",IFERROR(INDEX(案件管理!$AF:$AF,MATCH($A205,案件管理!$A:$A,0)),""))</f>
        <v/>
      </c>
      <c r="E205" s="28" t="n"/>
      <c r="F205" s="23" t="n"/>
      <c r="G205" s="20" t="n"/>
      <c r="H205" s="20" t="n"/>
      <c r="I205" s="28" t="n"/>
      <c r="J205" s="28" t="n"/>
      <c r="K205" s="22" t="n"/>
      <c r="L205" s="20" t="n"/>
      <c r="M205" s="22" t="n"/>
      <c r="N205" s="20" t="n"/>
      <c r="O205" s="28" t="n"/>
    </row>
    <row r="206">
      <c r="A206" s="28" t="n"/>
      <c r="B206" s="17">
        <f>IF($A206="","",IFERROR(INDEX(案件管理!$B:$B,MATCH($A206,案件管理!$A:$A,0)),""))</f>
        <v/>
      </c>
      <c r="C206" s="17">
        <f>IF($A206="","",IFERROR(INDEX(案件管理!$AE:$AE,MATCH($A206,案件管理!$A:$A,0)),""))</f>
        <v/>
      </c>
      <c r="D206" s="17">
        <f>IF($A206="","",IFERROR(INDEX(案件管理!$AF:$AF,MATCH($A206,案件管理!$A:$A,0)),""))</f>
        <v/>
      </c>
      <c r="E206" s="28" t="n"/>
      <c r="F206" s="23" t="n"/>
      <c r="G206" s="20" t="n"/>
      <c r="H206" s="20" t="n"/>
      <c r="I206" s="28" t="n"/>
      <c r="J206" s="28" t="n"/>
      <c r="K206" s="22" t="n"/>
      <c r="L206" s="20" t="n"/>
      <c r="M206" s="22" t="n"/>
      <c r="N206" s="20" t="n"/>
      <c r="O206" s="28" t="n"/>
    </row>
    <row r="207">
      <c r="A207" s="28" t="n"/>
      <c r="B207" s="17">
        <f>IF($A207="","",IFERROR(INDEX(案件管理!$B:$B,MATCH($A207,案件管理!$A:$A,0)),""))</f>
        <v/>
      </c>
      <c r="C207" s="17">
        <f>IF($A207="","",IFERROR(INDEX(案件管理!$AE:$AE,MATCH($A207,案件管理!$A:$A,0)),""))</f>
        <v/>
      </c>
      <c r="D207" s="17">
        <f>IF($A207="","",IFERROR(INDEX(案件管理!$AF:$AF,MATCH($A207,案件管理!$A:$A,0)),""))</f>
        <v/>
      </c>
      <c r="E207" s="28" t="n"/>
      <c r="F207" s="23" t="n"/>
      <c r="G207" s="20" t="n"/>
      <c r="H207" s="20" t="n"/>
      <c r="I207" s="28" t="n"/>
      <c r="J207" s="28" t="n"/>
      <c r="K207" s="22" t="n"/>
      <c r="L207" s="20" t="n"/>
      <c r="M207" s="22" t="n"/>
      <c r="N207" s="20" t="n"/>
      <c r="O207" s="28" t="n"/>
    </row>
    <row r="208">
      <c r="A208" s="28" t="n"/>
      <c r="B208" s="17">
        <f>IF($A208="","",IFERROR(INDEX(案件管理!$B:$B,MATCH($A208,案件管理!$A:$A,0)),""))</f>
        <v/>
      </c>
      <c r="C208" s="17">
        <f>IF($A208="","",IFERROR(INDEX(案件管理!$AE:$AE,MATCH($A208,案件管理!$A:$A,0)),""))</f>
        <v/>
      </c>
      <c r="D208" s="17">
        <f>IF($A208="","",IFERROR(INDEX(案件管理!$AF:$AF,MATCH($A208,案件管理!$A:$A,0)),""))</f>
        <v/>
      </c>
      <c r="E208" s="28" t="n"/>
      <c r="F208" s="23" t="n"/>
      <c r="G208" s="20" t="n"/>
      <c r="H208" s="20" t="n"/>
      <c r="I208" s="28" t="n"/>
      <c r="J208" s="28" t="n"/>
      <c r="K208" s="22" t="n"/>
      <c r="L208" s="20" t="n"/>
      <c r="M208" s="22" t="n"/>
      <c r="N208" s="20" t="n"/>
      <c r="O208" s="28" t="n"/>
    </row>
    <row r="209">
      <c r="A209" s="28" t="n"/>
      <c r="B209" s="17">
        <f>IF($A209="","",IFERROR(INDEX(案件管理!$B:$B,MATCH($A209,案件管理!$A:$A,0)),""))</f>
        <v/>
      </c>
      <c r="C209" s="17">
        <f>IF($A209="","",IFERROR(INDEX(案件管理!$AE:$AE,MATCH($A209,案件管理!$A:$A,0)),""))</f>
        <v/>
      </c>
      <c r="D209" s="17">
        <f>IF($A209="","",IFERROR(INDEX(案件管理!$AF:$AF,MATCH($A209,案件管理!$A:$A,0)),""))</f>
        <v/>
      </c>
      <c r="E209" s="28" t="n"/>
      <c r="F209" s="23" t="n"/>
      <c r="G209" s="20" t="n"/>
      <c r="H209" s="20" t="n"/>
      <c r="I209" s="28" t="n"/>
      <c r="J209" s="28" t="n"/>
      <c r="K209" s="22" t="n"/>
      <c r="L209" s="20" t="n"/>
      <c r="M209" s="22" t="n"/>
      <c r="N209" s="20" t="n"/>
      <c r="O209" s="28" t="n"/>
    </row>
    <row r="210">
      <c r="A210" s="28" t="n"/>
      <c r="B210" s="17">
        <f>IF($A210="","",IFERROR(INDEX(案件管理!$B:$B,MATCH($A210,案件管理!$A:$A,0)),""))</f>
        <v/>
      </c>
      <c r="C210" s="17">
        <f>IF($A210="","",IFERROR(INDEX(案件管理!$AE:$AE,MATCH($A210,案件管理!$A:$A,0)),""))</f>
        <v/>
      </c>
      <c r="D210" s="17">
        <f>IF($A210="","",IFERROR(INDEX(案件管理!$AF:$AF,MATCH($A210,案件管理!$A:$A,0)),""))</f>
        <v/>
      </c>
      <c r="E210" s="28" t="n"/>
      <c r="F210" s="23" t="n"/>
      <c r="G210" s="20" t="n"/>
      <c r="H210" s="20" t="n"/>
      <c r="I210" s="28" t="n"/>
      <c r="J210" s="28" t="n"/>
      <c r="K210" s="22" t="n"/>
      <c r="L210" s="20" t="n"/>
      <c r="M210" s="22" t="n"/>
      <c r="N210" s="20" t="n"/>
      <c r="O210" s="28" t="n"/>
    </row>
    <row r="211">
      <c r="A211" s="28" t="n"/>
      <c r="B211" s="17">
        <f>IF($A211="","",IFERROR(INDEX(案件管理!$B:$B,MATCH($A211,案件管理!$A:$A,0)),""))</f>
        <v/>
      </c>
      <c r="C211" s="17">
        <f>IF($A211="","",IFERROR(INDEX(案件管理!$AE:$AE,MATCH($A211,案件管理!$A:$A,0)),""))</f>
        <v/>
      </c>
      <c r="D211" s="17">
        <f>IF($A211="","",IFERROR(INDEX(案件管理!$AF:$AF,MATCH($A211,案件管理!$A:$A,0)),""))</f>
        <v/>
      </c>
      <c r="E211" s="28" t="n"/>
      <c r="F211" s="23" t="n"/>
      <c r="G211" s="20" t="n"/>
      <c r="H211" s="20" t="n"/>
      <c r="I211" s="28" t="n"/>
      <c r="J211" s="28" t="n"/>
      <c r="K211" s="22" t="n"/>
      <c r="L211" s="20" t="n"/>
      <c r="M211" s="22" t="n"/>
      <c r="N211" s="20" t="n"/>
      <c r="O211" s="28" t="n"/>
    </row>
    <row r="212">
      <c r="A212" s="28" t="n"/>
      <c r="B212" s="17">
        <f>IF($A212="","",IFERROR(INDEX(案件管理!$B:$B,MATCH($A212,案件管理!$A:$A,0)),""))</f>
        <v/>
      </c>
      <c r="C212" s="17">
        <f>IF($A212="","",IFERROR(INDEX(案件管理!$AE:$AE,MATCH($A212,案件管理!$A:$A,0)),""))</f>
        <v/>
      </c>
      <c r="D212" s="17">
        <f>IF($A212="","",IFERROR(INDEX(案件管理!$AF:$AF,MATCH($A212,案件管理!$A:$A,0)),""))</f>
        <v/>
      </c>
      <c r="E212" s="28" t="n"/>
      <c r="F212" s="23" t="n"/>
      <c r="G212" s="20" t="n"/>
      <c r="H212" s="20" t="n"/>
      <c r="I212" s="28" t="n"/>
      <c r="J212" s="28" t="n"/>
      <c r="K212" s="22" t="n"/>
      <c r="L212" s="20" t="n"/>
      <c r="M212" s="22" t="n"/>
      <c r="N212" s="20" t="n"/>
      <c r="O212" s="28" t="n"/>
    </row>
    <row r="213">
      <c r="A213" s="28" t="n"/>
      <c r="B213" s="17">
        <f>IF($A213="","",IFERROR(INDEX(案件管理!$B:$B,MATCH($A213,案件管理!$A:$A,0)),""))</f>
        <v/>
      </c>
      <c r="C213" s="17">
        <f>IF($A213="","",IFERROR(INDEX(案件管理!$AE:$AE,MATCH($A213,案件管理!$A:$A,0)),""))</f>
        <v/>
      </c>
      <c r="D213" s="17">
        <f>IF($A213="","",IFERROR(INDEX(案件管理!$AF:$AF,MATCH($A213,案件管理!$A:$A,0)),""))</f>
        <v/>
      </c>
      <c r="E213" s="28" t="n"/>
      <c r="F213" s="23" t="n"/>
      <c r="G213" s="20" t="n"/>
      <c r="H213" s="20" t="n"/>
      <c r="I213" s="28" t="n"/>
      <c r="J213" s="28" t="n"/>
      <c r="K213" s="22" t="n"/>
      <c r="L213" s="20" t="n"/>
      <c r="M213" s="22" t="n"/>
      <c r="N213" s="20" t="n"/>
      <c r="O213" s="28" t="n"/>
    </row>
    <row r="214">
      <c r="A214" s="28" t="n"/>
      <c r="B214" s="17">
        <f>IF($A214="","",IFERROR(INDEX(案件管理!$B:$B,MATCH($A214,案件管理!$A:$A,0)),""))</f>
        <v/>
      </c>
      <c r="C214" s="17">
        <f>IF($A214="","",IFERROR(INDEX(案件管理!$AE:$AE,MATCH($A214,案件管理!$A:$A,0)),""))</f>
        <v/>
      </c>
      <c r="D214" s="17">
        <f>IF($A214="","",IFERROR(INDEX(案件管理!$AF:$AF,MATCH($A214,案件管理!$A:$A,0)),""))</f>
        <v/>
      </c>
      <c r="E214" s="28" t="n"/>
      <c r="F214" s="23" t="n"/>
      <c r="G214" s="20" t="n"/>
      <c r="H214" s="20" t="n"/>
      <c r="I214" s="28" t="n"/>
      <c r="J214" s="28" t="n"/>
      <c r="K214" s="22" t="n"/>
      <c r="L214" s="20" t="n"/>
      <c r="M214" s="22" t="n"/>
      <c r="N214" s="20" t="n"/>
      <c r="O214" s="28" t="n"/>
    </row>
    <row r="215">
      <c r="A215" s="28" t="n"/>
      <c r="B215" s="17">
        <f>IF($A215="","",IFERROR(INDEX(案件管理!$B:$B,MATCH($A215,案件管理!$A:$A,0)),""))</f>
        <v/>
      </c>
      <c r="C215" s="17">
        <f>IF($A215="","",IFERROR(INDEX(案件管理!$AE:$AE,MATCH($A215,案件管理!$A:$A,0)),""))</f>
        <v/>
      </c>
      <c r="D215" s="17">
        <f>IF($A215="","",IFERROR(INDEX(案件管理!$AF:$AF,MATCH($A215,案件管理!$A:$A,0)),""))</f>
        <v/>
      </c>
      <c r="E215" s="28" t="n"/>
      <c r="F215" s="23" t="n"/>
      <c r="G215" s="20" t="n"/>
      <c r="H215" s="20" t="n"/>
      <c r="I215" s="28" t="n"/>
      <c r="J215" s="28" t="n"/>
      <c r="K215" s="22" t="n"/>
      <c r="L215" s="20" t="n"/>
      <c r="M215" s="22" t="n"/>
      <c r="N215" s="20" t="n"/>
      <c r="O215" s="28" t="n"/>
    </row>
    <row r="216">
      <c r="A216" s="28" t="n"/>
      <c r="B216" s="17">
        <f>IF($A216="","",IFERROR(INDEX(案件管理!$B:$B,MATCH($A216,案件管理!$A:$A,0)),""))</f>
        <v/>
      </c>
      <c r="C216" s="17">
        <f>IF($A216="","",IFERROR(INDEX(案件管理!$AE:$AE,MATCH($A216,案件管理!$A:$A,0)),""))</f>
        <v/>
      </c>
      <c r="D216" s="17">
        <f>IF($A216="","",IFERROR(INDEX(案件管理!$AF:$AF,MATCH($A216,案件管理!$A:$A,0)),""))</f>
        <v/>
      </c>
      <c r="E216" s="28" t="n"/>
      <c r="F216" s="23" t="n"/>
      <c r="G216" s="20" t="n"/>
      <c r="H216" s="20" t="n"/>
      <c r="I216" s="28" t="n"/>
      <c r="J216" s="28" t="n"/>
      <c r="K216" s="22" t="n"/>
      <c r="L216" s="20" t="n"/>
      <c r="M216" s="22" t="n"/>
      <c r="N216" s="20" t="n"/>
      <c r="O216" s="28" t="n"/>
    </row>
    <row r="217">
      <c r="A217" s="28" t="n"/>
      <c r="B217" s="17">
        <f>IF($A217="","",IFERROR(INDEX(案件管理!$B:$B,MATCH($A217,案件管理!$A:$A,0)),""))</f>
        <v/>
      </c>
      <c r="C217" s="17">
        <f>IF($A217="","",IFERROR(INDEX(案件管理!$AE:$AE,MATCH($A217,案件管理!$A:$A,0)),""))</f>
        <v/>
      </c>
      <c r="D217" s="17">
        <f>IF($A217="","",IFERROR(INDEX(案件管理!$AF:$AF,MATCH($A217,案件管理!$A:$A,0)),""))</f>
        <v/>
      </c>
      <c r="E217" s="28" t="n"/>
      <c r="F217" s="23" t="n"/>
      <c r="G217" s="20" t="n"/>
      <c r="H217" s="20" t="n"/>
      <c r="I217" s="28" t="n"/>
      <c r="J217" s="28" t="n"/>
      <c r="K217" s="22" t="n"/>
      <c r="L217" s="20" t="n"/>
      <c r="M217" s="22" t="n"/>
      <c r="N217" s="20" t="n"/>
      <c r="O217" s="28" t="n"/>
    </row>
    <row r="218">
      <c r="A218" s="28" t="n"/>
      <c r="B218" s="17">
        <f>IF($A218="","",IFERROR(INDEX(案件管理!$B:$B,MATCH($A218,案件管理!$A:$A,0)),""))</f>
        <v/>
      </c>
      <c r="C218" s="17">
        <f>IF($A218="","",IFERROR(INDEX(案件管理!$AE:$AE,MATCH($A218,案件管理!$A:$A,0)),""))</f>
        <v/>
      </c>
      <c r="D218" s="17">
        <f>IF($A218="","",IFERROR(INDEX(案件管理!$AF:$AF,MATCH($A218,案件管理!$A:$A,0)),""))</f>
        <v/>
      </c>
      <c r="E218" s="28" t="n"/>
      <c r="F218" s="23" t="n"/>
      <c r="G218" s="20" t="n"/>
      <c r="H218" s="20" t="n"/>
      <c r="I218" s="28" t="n"/>
      <c r="J218" s="28" t="n"/>
      <c r="K218" s="22" t="n"/>
      <c r="L218" s="20" t="n"/>
      <c r="M218" s="22" t="n"/>
      <c r="N218" s="20" t="n"/>
      <c r="O218" s="28" t="n"/>
    </row>
    <row r="219">
      <c r="A219" s="28" t="n"/>
      <c r="B219" s="17">
        <f>IF($A219="","",IFERROR(INDEX(案件管理!$B:$B,MATCH($A219,案件管理!$A:$A,0)),""))</f>
        <v/>
      </c>
      <c r="C219" s="17">
        <f>IF($A219="","",IFERROR(INDEX(案件管理!$AE:$AE,MATCH($A219,案件管理!$A:$A,0)),""))</f>
        <v/>
      </c>
      <c r="D219" s="17">
        <f>IF($A219="","",IFERROR(INDEX(案件管理!$AF:$AF,MATCH($A219,案件管理!$A:$A,0)),""))</f>
        <v/>
      </c>
      <c r="E219" s="28" t="n"/>
      <c r="F219" s="23" t="n"/>
      <c r="G219" s="20" t="n"/>
      <c r="H219" s="20" t="n"/>
      <c r="I219" s="28" t="n"/>
      <c r="J219" s="28" t="n"/>
      <c r="K219" s="22" t="n"/>
      <c r="L219" s="20" t="n"/>
      <c r="M219" s="22" t="n"/>
      <c r="N219" s="20" t="n"/>
      <c r="O219" s="28" t="n"/>
    </row>
    <row r="220">
      <c r="A220" s="28" t="n"/>
      <c r="B220" s="17">
        <f>IF($A220="","",IFERROR(INDEX(案件管理!$B:$B,MATCH($A220,案件管理!$A:$A,0)),""))</f>
        <v/>
      </c>
      <c r="C220" s="17">
        <f>IF($A220="","",IFERROR(INDEX(案件管理!$AE:$AE,MATCH($A220,案件管理!$A:$A,0)),""))</f>
        <v/>
      </c>
      <c r="D220" s="17">
        <f>IF($A220="","",IFERROR(INDEX(案件管理!$AF:$AF,MATCH($A220,案件管理!$A:$A,0)),""))</f>
        <v/>
      </c>
      <c r="E220" s="28" t="n"/>
      <c r="F220" s="23" t="n"/>
      <c r="G220" s="20" t="n"/>
      <c r="H220" s="20" t="n"/>
      <c r="I220" s="28" t="n"/>
      <c r="J220" s="28" t="n"/>
      <c r="K220" s="22" t="n"/>
      <c r="L220" s="20" t="n"/>
      <c r="M220" s="22" t="n"/>
      <c r="N220" s="20" t="n"/>
      <c r="O220" s="28" t="n"/>
    </row>
    <row r="221">
      <c r="A221" s="28" t="n"/>
      <c r="B221" s="17">
        <f>IF($A221="","",IFERROR(INDEX(案件管理!$B:$B,MATCH($A221,案件管理!$A:$A,0)),""))</f>
        <v/>
      </c>
      <c r="C221" s="17">
        <f>IF($A221="","",IFERROR(INDEX(案件管理!$AE:$AE,MATCH($A221,案件管理!$A:$A,0)),""))</f>
        <v/>
      </c>
      <c r="D221" s="17">
        <f>IF($A221="","",IFERROR(INDEX(案件管理!$AF:$AF,MATCH($A221,案件管理!$A:$A,0)),""))</f>
        <v/>
      </c>
      <c r="E221" s="28" t="n"/>
      <c r="F221" s="23" t="n"/>
      <c r="G221" s="20" t="n"/>
      <c r="H221" s="20" t="n"/>
      <c r="I221" s="28" t="n"/>
      <c r="J221" s="28" t="n"/>
      <c r="K221" s="22" t="n"/>
      <c r="L221" s="20" t="n"/>
      <c r="M221" s="22" t="n"/>
      <c r="N221" s="20" t="n"/>
      <c r="O221" s="28" t="n"/>
    </row>
    <row r="222">
      <c r="A222" s="28" t="n"/>
      <c r="B222" s="17">
        <f>IF($A222="","",IFERROR(INDEX(案件管理!$B:$B,MATCH($A222,案件管理!$A:$A,0)),""))</f>
        <v/>
      </c>
      <c r="C222" s="17">
        <f>IF($A222="","",IFERROR(INDEX(案件管理!$AE:$AE,MATCH($A222,案件管理!$A:$A,0)),""))</f>
        <v/>
      </c>
      <c r="D222" s="17">
        <f>IF($A222="","",IFERROR(INDEX(案件管理!$AF:$AF,MATCH($A222,案件管理!$A:$A,0)),""))</f>
        <v/>
      </c>
      <c r="E222" s="28" t="n"/>
      <c r="F222" s="23" t="n"/>
      <c r="G222" s="20" t="n"/>
      <c r="H222" s="20" t="n"/>
      <c r="I222" s="28" t="n"/>
      <c r="J222" s="28" t="n"/>
      <c r="K222" s="22" t="n"/>
      <c r="L222" s="20" t="n"/>
      <c r="M222" s="22" t="n"/>
      <c r="N222" s="20" t="n"/>
      <c r="O222" s="28" t="n"/>
    </row>
    <row r="223">
      <c r="A223" s="28" t="n"/>
      <c r="B223" s="17">
        <f>IF($A223="","",IFERROR(INDEX(案件管理!$B:$B,MATCH($A223,案件管理!$A:$A,0)),""))</f>
        <v/>
      </c>
      <c r="C223" s="17">
        <f>IF($A223="","",IFERROR(INDEX(案件管理!$AE:$AE,MATCH($A223,案件管理!$A:$A,0)),""))</f>
        <v/>
      </c>
      <c r="D223" s="17">
        <f>IF($A223="","",IFERROR(INDEX(案件管理!$AF:$AF,MATCH($A223,案件管理!$A:$A,0)),""))</f>
        <v/>
      </c>
      <c r="E223" s="28" t="n"/>
      <c r="F223" s="23" t="n"/>
      <c r="G223" s="20" t="n"/>
      <c r="H223" s="20" t="n"/>
      <c r="I223" s="28" t="n"/>
      <c r="J223" s="28" t="n"/>
      <c r="K223" s="22" t="n"/>
      <c r="L223" s="20" t="n"/>
      <c r="M223" s="22" t="n"/>
      <c r="N223" s="20" t="n"/>
      <c r="O223" s="28" t="n"/>
    </row>
    <row r="224">
      <c r="A224" s="28" t="n"/>
      <c r="B224" s="17">
        <f>IF($A224="","",IFERROR(INDEX(案件管理!$B:$B,MATCH($A224,案件管理!$A:$A,0)),""))</f>
        <v/>
      </c>
      <c r="C224" s="17">
        <f>IF($A224="","",IFERROR(INDEX(案件管理!$AE:$AE,MATCH($A224,案件管理!$A:$A,0)),""))</f>
        <v/>
      </c>
      <c r="D224" s="17">
        <f>IF($A224="","",IFERROR(INDEX(案件管理!$AF:$AF,MATCH($A224,案件管理!$A:$A,0)),""))</f>
        <v/>
      </c>
      <c r="E224" s="28" t="n"/>
      <c r="F224" s="23" t="n"/>
      <c r="G224" s="20" t="n"/>
      <c r="H224" s="20" t="n"/>
      <c r="I224" s="28" t="n"/>
      <c r="J224" s="28" t="n"/>
      <c r="K224" s="22" t="n"/>
      <c r="L224" s="20" t="n"/>
      <c r="M224" s="22" t="n"/>
      <c r="N224" s="20" t="n"/>
      <c r="O224" s="28" t="n"/>
    </row>
    <row r="225">
      <c r="A225" s="28" t="n"/>
      <c r="B225" s="17">
        <f>IF($A225="","",IFERROR(INDEX(案件管理!$B:$B,MATCH($A225,案件管理!$A:$A,0)),""))</f>
        <v/>
      </c>
      <c r="C225" s="17">
        <f>IF($A225="","",IFERROR(INDEX(案件管理!$AE:$AE,MATCH($A225,案件管理!$A:$A,0)),""))</f>
        <v/>
      </c>
      <c r="D225" s="17">
        <f>IF($A225="","",IFERROR(INDEX(案件管理!$AF:$AF,MATCH($A225,案件管理!$A:$A,0)),""))</f>
        <v/>
      </c>
      <c r="E225" s="28" t="n"/>
      <c r="F225" s="23" t="n"/>
      <c r="G225" s="20" t="n"/>
      <c r="H225" s="20" t="n"/>
      <c r="I225" s="28" t="n"/>
      <c r="J225" s="28" t="n"/>
      <c r="K225" s="22" t="n"/>
      <c r="L225" s="20" t="n"/>
      <c r="M225" s="22" t="n"/>
      <c r="N225" s="20" t="n"/>
      <c r="O225" s="28" t="n"/>
    </row>
    <row r="226">
      <c r="A226" s="28" t="n"/>
      <c r="B226" s="17">
        <f>IF($A226="","",IFERROR(INDEX(案件管理!$B:$B,MATCH($A226,案件管理!$A:$A,0)),""))</f>
        <v/>
      </c>
      <c r="C226" s="17">
        <f>IF($A226="","",IFERROR(INDEX(案件管理!$AE:$AE,MATCH($A226,案件管理!$A:$A,0)),""))</f>
        <v/>
      </c>
      <c r="D226" s="17">
        <f>IF($A226="","",IFERROR(INDEX(案件管理!$AF:$AF,MATCH($A226,案件管理!$A:$A,0)),""))</f>
        <v/>
      </c>
      <c r="E226" s="28" t="n"/>
      <c r="F226" s="23" t="n"/>
      <c r="G226" s="20" t="n"/>
      <c r="H226" s="20" t="n"/>
      <c r="I226" s="28" t="n"/>
      <c r="J226" s="28" t="n"/>
      <c r="K226" s="22" t="n"/>
      <c r="L226" s="20" t="n"/>
      <c r="M226" s="22" t="n"/>
      <c r="N226" s="20" t="n"/>
      <c r="O226" s="28" t="n"/>
    </row>
    <row r="227">
      <c r="A227" s="28" t="n"/>
      <c r="B227" s="17">
        <f>IF($A227="","",IFERROR(INDEX(案件管理!$B:$B,MATCH($A227,案件管理!$A:$A,0)),""))</f>
        <v/>
      </c>
      <c r="C227" s="17">
        <f>IF($A227="","",IFERROR(INDEX(案件管理!$AE:$AE,MATCH($A227,案件管理!$A:$A,0)),""))</f>
        <v/>
      </c>
      <c r="D227" s="17">
        <f>IF($A227="","",IFERROR(INDEX(案件管理!$AF:$AF,MATCH($A227,案件管理!$A:$A,0)),""))</f>
        <v/>
      </c>
      <c r="E227" s="28" t="n"/>
      <c r="F227" s="23" t="n"/>
      <c r="G227" s="20" t="n"/>
      <c r="H227" s="20" t="n"/>
      <c r="I227" s="28" t="n"/>
      <c r="J227" s="28" t="n"/>
      <c r="K227" s="22" t="n"/>
      <c r="L227" s="20" t="n"/>
      <c r="M227" s="22" t="n"/>
      <c r="N227" s="20" t="n"/>
      <c r="O227" s="28" t="n"/>
    </row>
    <row r="228">
      <c r="A228" s="28" t="n"/>
      <c r="B228" s="17">
        <f>IF($A228="","",IFERROR(INDEX(案件管理!$B:$B,MATCH($A228,案件管理!$A:$A,0)),""))</f>
        <v/>
      </c>
      <c r="C228" s="17">
        <f>IF($A228="","",IFERROR(INDEX(案件管理!$AE:$AE,MATCH($A228,案件管理!$A:$A,0)),""))</f>
        <v/>
      </c>
      <c r="D228" s="17">
        <f>IF($A228="","",IFERROR(INDEX(案件管理!$AF:$AF,MATCH($A228,案件管理!$A:$A,0)),""))</f>
        <v/>
      </c>
      <c r="E228" s="28" t="n"/>
      <c r="F228" s="23" t="n"/>
      <c r="G228" s="20" t="n"/>
      <c r="H228" s="20" t="n"/>
      <c r="I228" s="28" t="n"/>
      <c r="J228" s="28" t="n"/>
      <c r="K228" s="22" t="n"/>
      <c r="L228" s="20" t="n"/>
      <c r="M228" s="22" t="n"/>
      <c r="N228" s="20" t="n"/>
      <c r="O228" s="28" t="n"/>
    </row>
    <row r="229">
      <c r="A229" s="28" t="n"/>
      <c r="B229" s="17">
        <f>IF($A229="","",IFERROR(INDEX(案件管理!$B:$B,MATCH($A229,案件管理!$A:$A,0)),""))</f>
        <v/>
      </c>
      <c r="C229" s="17">
        <f>IF($A229="","",IFERROR(INDEX(案件管理!$AE:$AE,MATCH($A229,案件管理!$A:$A,0)),""))</f>
        <v/>
      </c>
      <c r="D229" s="17">
        <f>IF($A229="","",IFERROR(INDEX(案件管理!$AF:$AF,MATCH($A229,案件管理!$A:$A,0)),""))</f>
        <v/>
      </c>
      <c r="E229" s="28" t="n"/>
      <c r="F229" s="23" t="n"/>
      <c r="G229" s="20" t="n"/>
      <c r="H229" s="20" t="n"/>
      <c r="I229" s="28" t="n"/>
      <c r="J229" s="28" t="n"/>
      <c r="K229" s="22" t="n"/>
      <c r="L229" s="20" t="n"/>
      <c r="M229" s="22" t="n"/>
      <c r="N229" s="20" t="n"/>
      <c r="O229" s="28" t="n"/>
    </row>
    <row r="230">
      <c r="A230" s="28" t="n"/>
      <c r="B230" s="17">
        <f>IF($A230="","",IFERROR(INDEX(案件管理!$B:$B,MATCH($A230,案件管理!$A:$A,0)),""))</f>
        <v/>
      </c>
      <c r="C230" s="17">
        <f>IF($A230="","",IFERROR(INDEX(案件管理!$AE:$AE,MATCH($A230,案件管理!$A:$A,0)),""))</f>
        <v/>
      </c>
      <c r="D230" s="17">
        <f>IF($A230="","",IFERROR(INDEX(案件管理!$AF:$AF,MATCH($A230,案件管理!$A:$A,0)),""))</f>
        <v/>
      </c>
      <c r="E230" s="28" t="n"/>
      <c r="F230" s="23" t="n"/>
      <c r="G230" s="20" t="n"/>
      <c r="H230" s="20" t="n"/>
      <c r="I230" s="28" t="n"/>
      <c r="J230" s="28" t="n"/>
      <c r="K230" s="22" t="n"/>
      <c r="L230" s="20" t="n"/>
      <c r="M230" s="22" t="n"/>
      <c r="N230" s="20" t="n"/>
      <c r="O230" s="28" t="n"/>
    </row>
    <row r="231">
      <c r="A231" s="28" t="n"/>
      <c r="B231" s="17">
        <f>IF($A231="","",IFERROR(INDEX(案件管理!$B:$B,MATCH($A231,案件管理!$A:$A,0)),""))</f>
        <v/>
      </c>
      <c r="C231" s="17">
        <f>IF($A231="","",IFERROR(INDEX(案件管理!$AE:$AE,MATCH($A231,案件管理!$A:$A,0)),""))</f>
        <v/>
      </c>
      <c r="D231" s="17">
        <f>IF($A231="","",IFERROR(INDEX(案件管理!$AF:$AF,MATCH($A231,案件管理!$A:$A,0)),""))</f>
        <v/>
      </c>
      <c r="E231" s="28" t="n"/>
      <c r="F231" s="23" t="n"/>
      <c r="G231" s="20" t="n"/>
      <c r="H231" s="20" t="n"/>
      <c r="I231" s="28" t="n"/>
      <c r="J231" s="28" t="n"/>
      <c r="K231" s="22" t="n"/>
      <c r="L231" s="20" t="n"/>
      <c r="M231" s="22" t="n"/>
      <c r="N231" s="20" t="n"/>
      <c r="O231" s="28" t="n"/>
    </row>
    <row r="232">
      <c r="A232" s="28" t="n"/>
      <c r="B232" s="17">
        <f>IF($A232="","",IFERROR(INDEX(案件管理!$B:$B,MATCH($A232,案件管理!$A:$A,0)),""))</f>
        <v/>
      </c>
      <c r="C232" s="17">
        <f>IF($A232="","",IFERROR(INDEX(案件管理!$AE:$AE,MATCH($A232,案件管理!$A:$A,0)),""))</f>
        <v/>
      </c>
      <c r="D232" s="17">
        <f>IF($A232="","",IFERROR(INDEX(案件管理!$AF:$AF,MATCH($A232,案件管理!$A:$A,0)),""))</f>
        <v/>
      </c>
      <c r="E232" s="28" t="n"/>
      <c r="F232" s="23" t="n"/>
      <c r="G232" s="20" t="n"/>
      <c r="H232" s="20" t="n"/>
      <c r="I232" s="28" t="n"/>
      <c r="J232" s="28" t="n"/>
      <c r="K232" s="22" t="n"/>
      <c r="L232" s="20" t="n"/>
      <c r="M232" s="22" t="n"/>
      <c r="N232" s="20" t="n"/>
      <c r="O232" s="28" t="n"/>
    </row>
    <row r="233">
      <c r="A233" s="28" t="n"/>
      <c r="B233" s="17">
        <f>IF($A233="","",IFERROR(INDEX(案件管理!$B:$B,MATCH($A233,案件管理!$A:$A,0)),""))</f>
        <v/>
      </c>
      <c r="C233" s="17">
        <f>IF($A233="","",IFERROR(INDEX(案件管理!$AE:$AE,MATCH($A233,案件管理!$A:$A,0)),""))</f>
        <v/>
      </c>
      <c r="D233" s="17">
        <f>IF($A233="","",IFERROR(INDEX(案件管理!$AF:$AF,MATCH($A233,案件管理!$A:$A,0)),""))</f>
        <v/>
      </c>
      <c r="E233" s="28" t="n"/>
      <c r="F233" s="23" t="n"/>
      <c r="G233" s="20" t="n"/>
      <c r="H233" s="20" t="n"/>
      <c r="I233" s="28" t="n"/>
      <c r="J233" s="28" t="n"/>
      <c r="K233" s="22" t="n"/>
      <c r="L233" s="20" t="n"/>
      <c r="M233" s="22" t="n"/>
      <c r="N233" s="20" t="n"/>
      <c r="O233" s="28" t="n"/>
    </row>
    <row r="234">
      <c r="A234" s="28" t="n"/>
      <c r="B234" s="17">
        <f>IF($A234="","",IFERROR(INDEX(案件管理!$B:$B,MATCH($A234,案件管理!$A:$A,0)),""))</f>
        <v/>
      </c>
      <c r="C234" s="17">
        <f>IF($A234="","",IFERROR(INDEX(案件管理!$AE:$AE,MATCH($A234,案件管理!$A:$A,0)),""))</f>
        <v/>
      </c>
      <c r="D234" s="17">
        <f>IF($A234="","",IFERROR(INDEX(案件管理!$AF:$AF,MATCH($A234,案件管理!$A:$A,0)),""))</f>
        <v/>
      </c>
      <c r="E234" s="28" t="n"/>
      <c r="F234" s="23" t="n"/>
      <c r="G234" s="20" t="n"/>
      <c r="H234" s="20" t="n"/>
      <c r="I234" s="28" t="n"/>
      <c r="J234" s="28" t="n"/>
      <c r="K234" s="22" t="n"/>
      <c r="L234" s="20" t="n"/>
      <c r="M234" s="22" t="n"/>
      <c r="N234" s="20" t="n"/>
      <c r="O234" s="28" t="n"/>
    </row>
    <row r="235">
      <c r="A235" s="28" t="n"/>
      <c r="B235" s="17">
        <f>IF($A235="","",IFERROR(INDEX(案件管理!$B:$B,MATCH($A235,案件管理!$A:$A,0)),""))</f>
        <v/>
      </c>
      <c r="C235" s="17">
        <f>IF($A235="","",IFERROR(INDEX(案件管理!$AE:$AE,MATCH($A235,案件管理!$A:$A,0)),""))</f>
        <v/>
      </c>
      <c r="D235" s="17">
        <f>IF($A235="","",IFERROR(INDEX(案件管理!$AF:$AF,MATCH($A235,案件管理!$A:$A,0)),""))</f>
        <v/>
      </c>
      <c r="E235" s="28" t="n"/>
      <c r="F235" s="23" t="n"/>
      <c r="G235" s="20" t="n"/>
      <c r="H235" s="20" t="n"/>
      <c r="I235" s="28" t="n"/>
      <c r="J235" s="28" t="n"/>
      <c r="K235" s="22" t="n"/>
      <c r="L235" s="20" t="n"/>
      <c r="M235" s="22" t="n"/>
      <c r="N235" s="20" t="n"/>
      <c r="O235" s="28" t="n"/>
    </row>
    <row r="236">
      <c r="A236" s="28" t="n"/>
      <c r="B236" s="17">
        <f>IF($A236="","",IFERROR(INDEX(案件管理!$B:$B,MATCH($A236,案件管理!$A:$A,0)),""))</f>
        <v/>
      </c>
      <c r="C236" s="17">
        <f>IF($A236="","",IFERROR(INDEX(案件管理!$AE:$AE,MATCH($A236,案件管理!$A:$A,0)),""))</f>
        <v/>
      </c>
      <c r="D236" s="17">
        <f>IF($A236="","",IFERROR(INDEX(案件管理!$AF:$AF,MATCH($A236,案件管理!$A:$A,0)),""))</f>
        <v/>
      </c>
      <c r="E236" s="28" t="n"/>
      <c r="F236" s="23" t="n"/>
      <c r="G236" s="20" t="n"/>
      <c r="H236" s="20" t="n"/>
      <c r="I236" s="28" t="n"/>
      <c r="J236" s="28" t="n"/>
      <c r="K236" s="22" t="n"/>
      <c r="L236" s="20" t="n"/>
      <c r="M236" s="22" t="n"/>
      <c r="N236" s="20" t="n"/>
      <c r="O236" s="28" t="n"/>
    </row>
    <row r="237">
      <c r="A237" s="28" t="n"/>
      <c r="B237" s="17">
        <f>IF($A237="","",IFERROR(INDEX(案件管理!$B:$B,MATCH($A237,案件管理!$A:$A,0)),""))</f>
        <v/>
      </c>
      <c r="C237" s="17">
        <f>IF($A237="","",IFERROR(INDEX(案件管理!$AE:$AE,MATCH($A237,案件管理!$A:$A,0)),""))</f>
        <v/>
      </c>
      <c r="D237" s="17">
        <f>IF($A237="","",IFERROR(INDEX(案件管理!$AF:$AF,MATCH($A237,案件管理!$A:$A,0)),""))</f>
        <v/>
      </c>
      <c r="E237" s="28" t="n"/>
      <c r="F237" s="23" t="n"/>
      <c r="G237" s="20" t="n"/>
      <c r="H237" s="20" t="n"/>
      <c r="I237" s="28" t="n"/>
      <c r="J237" s="28" t="n"/>
      <c r="K237" s="22" t="n"/>
      <c r="L237" s="20" t="n"/>
      <c r="M237" s="22" t="n"/>
      <c r="N237" s="20" t="n"/>
      <c r="O237" s="28" t="n"/>
    </row>
    <row r="238">
      <c r="A238" s="28" t="n"/>
      <c r="B238" s="17">
        <f>IF($A238="","",IFERROR(INDEX(案件管理!$B:$B,MATCH($A238,案件管理!$A:$A,0)),""))</f>
        <v/>
      </c>
      <c r="C238" s="17">
        <f>IF($A238="","",IFERROR(INDEX(案件管理!$AE:$AE,MATCH($A238,案件管理!$A:$A,0)),""))</f>
        <v/>
      </c>
      <c r="D238" s="17">
        <f>IF($A238="","",IFERROR(INDEX(案件管理!$AF:$AF,MATCH($A238,案件管理!$A:$A,0)),""))</f>
        <v/>
      </c>
      <c r="E238" s="28" t="n"/>
      <c r="F238" s="23" t="n"/>
      <c r="G238" s="20" t="n"/>
      <c r="H238" s="20" t="n"/>
      <c r="I238" s="28" t="n"/>
      <c r="J238" s="28" t="n"/>
      <c r="K238" s="22" t="n"/>
      <c r="L238" s="20" t="n"/>
      <c r="M238" s="22" t="n"/>
      <c r="N238" s="20" t="n"/>
      <c r="O238" s="28" t="n"/>
    </row>
    <row r="239">
      <c r="A239" s="28" t="n"/>
      <c r="B239" s="17">
        <f>IF($A239="","",IFERROR(INDEX(案件管理!$B:$B,MATCH($A239,案件管理!$A:$A,0)),""))</f>
        <v/>
      </c>
      <c r="C239" s="17">
        <f>IF($A239="","",IFERROR(INDEX(案件管理!$AE:$AE,MATCH($A239,案件管理!$A:$A,0)),""))</f>
        <v/>
      </c>
      <c r="D239" s="17">
        <f>IF($A239="","",IFERROR(INDEX(案件管理!$AF:$AF,MATCH($A239,案件管理!$A:$A,0)),""))</f>
        <v/>
      </c>
      <c r="E239" s="28" t="n"/>
      <c r="F239" s="23" t="n"/>
      <c r="G239" s="20" t="n"/>
      <c r="H239" s="20" t="n"/>
      <c r="I239" s="28" t="n"/>
      <c r="J239" s="28" t="n"/>
      <c r="K239" s="22" t="n"/>
      <c r="L239" s="20" t="n"/>
      <c r="M239" s="22" t="n"/>
      <c r="N239" s="20" t="n"/>
      <c r="O239" s="28" t="n"/>
    </row>
    <row r="240">
      <c r="A240" s="28" t="n"/>
      <c r="B240" s="17">
        <f>IF($A240="","",IFERROR(INDEX(案件管理!$B:$B,MATCH($A240,案件管理!$A:$A,0)),""))</f>
        <v/>
      </c>
      <c r="C240" s="17">
        <f>IF($A240="","",IFERROR(INDEX(案件管理!$AE:$AE,MATCH($A240,案件管理!$A:$A,0)),""))</f>
        <v/>
      </c>
      <c r="D240" s="17">
        <f>IF($A240="","",IFERROR(INDEX(案件管理!$AF:$AF,MATCH($A240,案件管理!$A:$A,0)),""))</f>
        <v/>
      </c>
      <c r="E240" s="28" t="n"/>
      <c r="F240" s="23" t="n"/>
      <c r="G240" s="20" t="n"/>
      <c r="H240" s="20" t="n"/>
      <c r="I240" s="28" t="n"/>
      <c r="J240" s="28" t="n"/>
      <c r="K240" s="22" t="n"/>
      <c r="L240" s="20" t="n"/>
      <c r="M240" s="22" t="n"/>
      <c r="N240" s="20" t="n"/>
      <c r="O240" s="28" t="n"/>
    </row>
    <row r="241">
      <c r="A241" s="28" t="n"/>
      <c r="B241" s="17">
        <f>IF($A241="","",IFERROR(INDEX(案件管理!$B:$B,MATCH($A241,案件管理!$A:$A,0)),""))</f>
        <v/>
      </c>
      <c r="C241" s="17">
        <f>IF($A241="","",IFERROR(INDEX(案件管理!$AE:$AE,MATCH($A241,案件管理!$A:$A,0)),""))</f>
        <v/>
      </c>
      <c r="D241" s="17">
        <f>IF($A241="","",IFERROR(INDEX(案件管理!$AF:$AF,MATCH($A241,案件管理!$A:$A,0)),""))</f>
        <v/>
      </c>
      <c r="E241" s="28" t="n"/>
      <c r="F241" s="23" t="n"/>
      <c r="G241" s="20" t="n"/>
      <c r="H241" s="20" t="n"/>
      <c r="I241" s="28" t="n"/>
      <c r="J241" s="28" t="n"/>
      <c r="K241" s="22" t="n"/>
      <c r="L241" s="20" t="n"/>
      <c r="M241" s="22" t="n"/>
      <c r="N241" s="20" t="n"/>
      <c r="O241" s="28" t="n"/>
    </row>
    <row r="242">
      <c r="A242" s="28" t="n"/>
      <c r="B242" s="17">
        <f>IF($A242="","",IFERROR(INDEX(案件管理!$B:$B,MATCH($A242,案件管理!$A:$A,0)),""))</f>
        <v/>
      </c>
      <c r="C242" s="17">
        <f>IF($A242="","",IFERROR(INDEX(案件管理!$AE:$AE,MATCH($A242,案件管理!$A:$A,0)),""))</f>
        <v/>
      </c>
      <c r="D242" s="17">
        <f>IF($A242="","",IFERROR(INDEX(案件管理!$AF:$AF,MATCH($A242,案件管理!$A:$A,0)),""))</f>
        <v/>
      </c>
      <c r="E242" s="28" t="n"/>
      <c r="F242" s="23" t="n"/>
      <c r="G242" s="20" t="n"/>
      <c r="H242" s="20" t="n"/>
      <c r="I242" s="28" t="n"/>
      <c r="J242" s="28" t="n"/>
      <c r="K242" s="22" t="n"/>
      <c r="L242" s="20" t="n"/>
      <c r="M242" s="22" t="n"/>
      <c r="N242" s="20" t="n"/>
      <c r="O242" s="28" t="n"/>
    </row>
    <row r="243">
      <c r="A243" s="28" t="n"/>
      <c r="B243" s="17">
        <f>IF($A243="","",IFERROR(INDEX(案件管理!$B:$B,MATCH($A243,案件管理!$A:$A,0)),""))</f>
        <v/>
      </c>
      <c r="C243" s="17">
        <f>IF($A243="","",IFERROR(INDEX(案件管理!$AE:$AE,MATCH($A243,案件管理!$A:$A,0)),""))</f>
        <v/>
      </c>
      <c r="D243" s="17">
        <f>IF($A243="","",IFERROR(INDEX(案件管理!$AF:$AF,MATCH($A243,案件管理!$A:$A,0)),""))</f>
        <v/>
      </c>
      <c r="E243" s="28" t="n"/>
      <c r="F243" s="23" t="n"/>
      <c r="G243" s="20" t="n"/>
      <c r="H243" s="20" t="n"/>
      <c r="I243" s="28" t="n"/>
      <c r="J243" s="28" t="n"/>
      <c r="K243" s="22" t="n"/>
      <c r="L243" s="20" t="n"/>
      <c r="M243" s="22" t="n"/>
      <c r="N243" s="20" t="n"/>
      <c r="O243" s="28" t="n"/>
    </row>
    <row r="244">
      <c r="A244" s="28" t="n"/>
      <c r="B244" s="17">
        <f>IF($A244="","",IFERROR(INDEX(案件管理!$B:$B,MATCH($A244,案件管理!$A:$A,0)),""))</f>
        <v/>
      </c>
      <c r="C244" s="17">
        <f>IF($A244="","",IFERROR(INDEX(案件管理!$AE:$AE,MATCH($A244,案件管理!$A:$A,0)),""))</f>
        <v/>
      </c>
      <c r="D244" s="17">
        <f>IF($A244="","",IFERROR(INDEX(案件管理!$AF:$AF,MATCH($A244,案件管理!$A:$A,0)),""))</f>
        <v/>
      </c>
      <c r="E244" s="28" t="n"/>
      <c r="F244" s="23" t="n"/>
      <c r="G244" s="20" t="n"/>
      <c r="H244" s="20" t="n"/>
      <c r="I244" s="28" t="n"/>
      <c r="J244" s="28" t="n"/>
      <c r="K244" s="22" t="n"/>
      <c r="L244" s="20" t="n"/>
      <c r="M244" s="22" t="n"/>
      <c r="N244" s="20" t="n"/>
      <c r="O244" s="28" t="n"/>
    </row>
    <row r="245">
      <c r="A245" s="28" t="n"/>
      <c r="B245" s="17">
        <f>IF($A245="","",IFERROR(INDEX(案件管理!$B:$B,MATCH($A245,案件管理!$A:$A,0)),""))</f>
        <v/>
      </c>
      <c r="C245" s="17">
        <f>IF($A245="","",IFERROR(INDEX(案件管理!$AE:$AE,MATCH($A245,案件管理!$A:$A,0)),""))</f>
        <v/>
      </c>
      <c r="D245" s="17">
        <f>IF($A245="","",IFERROR(INDEX(案件管理!$AF:$AF,MATCH($A245,案件管理!$A:$A,0)),""))</f>
        <v/>
      </c>
      <c r="E245" s="28" t="n"/>
      <c r="F245" s="23" t="n"/>
      <c r="G245" s="20" t="n"/>
      <c r="H245" s="20" t="n"/>
      <c r="I245" s="28" t="n"/>
      <c r="J245" s="28" t="n"/>
      <c r="K245" s="22" t="n"/>
      <c r="L245" s="20" t="n"/>
      <c r="M245" s="22" t="n"/>
      <c r="N245" s="20" t="n"/>
      <c r="O245" s="28" t="n"/>
    </row>
    <row r="246">
      <c r="A246" s="28" t="n"/>
      <c r="B246" s="17">
        <f>IF($A246="","",IFERROR(INDEX(案件管理!$B:$B,MATCH($A246,案件管理!$A:$A,0)),""))</f>
        <v/>
      </c>
      <c r="C246" s="17">
        <f>IF($A246="","",IFERROR(INDEX(案件管理!$AE:$AE,MATCH($A246,案件管理!$A:$A,0)),""))</f>
        <v/>
      </c>
      <c r="D246" s="17">
        <f>IF($A246="","",IFERROR(INDEX(案件管理!$AF:$AF,MATCH($A246,案件管理!$A:$A,0)),""))</f>
        <v/>
      </c>
      <c r="E246" s="28" t="n"/>
      <c r="F246" s="23" t="n"/>
      <c r="G246" s="20" t="n"/>
      <c r="H246" s="20" t="n"/>
      <c r="I246" s="28" t="n"/>
      <c r="J246" s="28" t="n"/>
      <c r="K246" s="22" t="n"/>
      <c r="L246" s="20" t="n"/>
      <c r="M246" s="22" t="n"/>
      <c r="N246" s="20" t="n"/>
      <c r="O246" s="28" t="n"/>
    </row>
    <row r="247">
      <c r="A247" s="28" t="n"/>
      <c r="B247" s="17">
        <f>IF($A247="","",IFERROR(INDEX(案件管理!$B:$B,MATCH($A247,案件管理!$A:$A,0)),""))</f>
        <v/>
      </c>
      <c r="C247" s="17">
        <f>IF($A247="","",IFERROR(INDEX(案件管理!$AE:$AE,MATCH($A247,案件管理!$A:$A,0)),""))</f>
        <v/>
      </c>
      <c r="D247" s="17">
        <f>IF($A247="","",IFERROR(INDEX(案件管理!$AF:$AF,MATCH($A247,案件管理!$A:$A,0)),""))</f>
        <v/>
      </c>
      <c r="E247" s="28" t="n"/>
      <c r="F247" s="23" t="n"/>
      <c r="G247" s="20" t="n"/>
      <c r="H247" s="20" t="n"/>
      <c r="I247" s="28" t="n"/>
      <c r="J247" s="28" t="n"/>
      <c r="K247" s="22" t="n"/>
      <c r="L247" s="20" t="n"/>
      <c r="M247" s="22" t="n"/>
      <c r="N247" s="20" t="n"/>
      <c r="O247" s="28" t="n"/>
    </row>
    <row r="248">
      <c r="A248" s="28" t="n"/>
      <c r="B248" s="17">
        <f>IF($A248="","",IFERROR(INDEX(案件管理!$B:$B,MATCH($A248,案件管理!$A:$A,0)),""))</f>
        <v/>
      </c>
      <c r="C248" s="17">
        <f>IF($A248="","",IFERROR(INDEX(案件管理!$AE:$AE,MATCH($A248,案件管理!$A:$A,0)),""))</f>
        <v/>
      </c>
      <c r="D248" s="17">
        <f>IF($A248="","",IFERROR(INDEX(案件管理!$AF:$AF,MATCH($A248,案件管理!$A:$A,0)),""))</f>
        <v/>
      </c>
      <c r="E248" s="28" t="n"/>
      <c r="F248" s="23" t="n"/>
      <c r="G248" s="20" t="n"/>
      <c r="H248" s="20" t="n"/>
      <c r="I248" s="28" t="n"/>
      <c r="J248" s="28" t="n"/>
      <c r="K248" s="22" t="n"/>
      <c r="L248" s="20" t="n"/>
      <c r="M248" s="22" t="n"/>
      <c r="N248" s="20" t="n"/>
      <c r="O248" s="28" t="n"/>
    </row>
    <row r="249">
      <c r="A249" s="28" t="n"/>
      <c r="B249" s="17">
        <f>IF($A249="","",IFERROR(INDEX(案件管理!$B:$B,MATCH($A249,案件管理!$A:$A,0)),""))</f>
        <v/>
      </c>
      <c r="C249" s="17">
        <f>IF($A249="","",IFERROR(INDEX(案件管理!$AE:$AE,MATCH($A249,案件管理!$A:$A,0)),""))</f>
        <v/>
      </c>
      <c r="D249" s="17">
        <f>IF($A249="","",IFERROR(INDEX(案件管理!$AF:$AF,MATCH($A249,案件管理!$A:$A,0)),""))</f>
        <v/>
      </c>
      <c r="E249" s="28" t="n"/>
      <c r="F249" s="23" t="n"/>
      <c r="G249" s="20" t="n"/>
      <c r="H249" s="20" t="n"/>
      <c r="I249" s="28" t="n"/>
      <c r="J249" s="28" t="n"/>
      <c r="K249" s="22" t="n"/>
      <c r="L249" s="20" t="n"/>
      <c r="M249" s="22" t="n"/>
      <c r="N249" s="20" t="n"/>
      <c r="O249" s="28" t="n"/>
    </row>
    <row r="250">
      <c r="A250" s="28" t="n"/>
      <c r="B250" s="17">
        <f>IF($A250="","",IFERROR(INDEX(案件管理!$B:$B,MATCH($A250,案件管理!$A:$A,0)),""))</f>
        <v/>
      </c>
      <c r="C250" s="17">
        <f>IF($A250="","",IFERROR(INDEX(案件管理!$AE:$AE,MATCH($A250,案件管理!$A:$A,0)),""))</f>
        <v/>
      </c>
      <c r="D250" s="17">
        <f>IF($A250="","",IFERROR(INDEX(案件管理!$AF:$AF,MATCH($A250,案件管理!$A:$A,0)),""))</f>
        <v/>
      </c>
      <c r="E250" s="28" t="n"/>
      <c r="F250" s="23" t="n"/>
      <c r="G250" s="20" t="n"/>
      <c r="H250" s="20" t="n"/>
      <c r="I250" s="28" t="n"/>
      <c r="J250" s="28" t="n"/>
      <c r="K250" s="22" t="n"/>
      <c r="L250" s="20" t="n"/>
      <c r="M250" s="22" t="n"/>
      <c r="N250" s="20" t="n"/>
      <c r="O250" s="28" t="n"/>
    </row>
    <row r="251">
      <c r="A251" s="28" t="n"/>
      <c r="B251" s="17">
        <f>IF($A251="","",IFERROR(INDEX(案件管理!$B:$B,MATCH($A251,案件管理!$A:$A,0)),""))</f>
        <v/>
      </c>
      <c r="C251" s="17">
        <f>IF($A251="","",IFERROR(INDEX(案件管理!$AE:$AE,MATCH($A251,案件管理!$A:$A,0)),""))</f>
        <v/>
      </c>
      <c r="D251" s="17">
        <f>IF($A251="","",IFERROR(INDEX(案件管理!$AF:$AF,MATCH($A251,案件管理!$A:$A,0)),""))</f>
        <v/>
      </c>
      <c r="E251" s="28" t="n"/>
      <c r="F251" s="23" t="n"/>
      <c r="G251" s="20" t="n"/>
      <c r="H251" s="20" t="n"/>
      <c r="I251" s="28" t="n"/>
      <c r="J251" s="28" t="n"/>
      <c r="K251" s="22" t="n"/>
      <c r="L251" s="20" t="n"/>
      <c r="M251" s="22" t="n"/>
      <c r="N251" s="20" t="n"/>
      <c r="O251" s="28" t="n"/>
    </row>
    <row r="252">
      <c r="A252" s="28" t="n"/>
      <c r="B252" s="17">
        <f>IF($A252="","",IFERROR(INDEX(案件管理!$B:$B,MATCH($A252,案件管理!$A:$A,0)),""))</f>
        <v/>
      </c>
      <c r="C252" s="17">
        <f>IF($A252="","",IFERROR(INDEX(案件管理!$AE:$AE,MATCH($A252,案件管理!$A:$A,0)),""))</f>
        <v/>
      </c>
      <c r="D252" s="17">
        <f>IF($A252="","",IFERROR(INDEX(案件管理!$AF:$AF,MATCH($A252,案件管理!$A:$A,0)),""))</f>
        <v/>
      </c>
      <c r="E252" s="28" t="n"/>
      <c r="F252" s="23" t="n"/>
      <c r="G252" s="20" t="n"/>
      <c r="H252" s="20" t="n"/>
      <c r="I252" s="28" t="n"/>
      <c r="J252" s="28" t="n"/>
      <c r="K252" s="22" t="n"/>
      <c r="L252" s="20" t="n"/>
      <c r="M252" s="22" t="n"/>
      <c r="N252" s="20" t="n"/>
      <c r="O252" s="28" t="n"/>
    </row>
    <row r="253">
      <c r="A253" s="28" t="n"/>
      <c r="B253" s="17">
        <f>IF($A253="","",IFERROR(INDEX(案件管理!$B:$B,MATCH($A253,案件管理!$A:$A,0)),""))</f>
        <v/>
      </c>
      <c r="C253" s="17">
        <f>IF($A253="","",IFERROR(INDEX(案件管理!$AE:$AE,MATCH($A253,案件管理!$A:$A,0)),""))</f>
        <v/>
      </c>
      <c r="D253" s="17">
        <f>IF($A253="","",IFERROR(INDEX(案件管理!$AF:$AF,MATCH($A253,案件管理!$A:$A,0)),""))</f>
        <v/>
      </c>
      <c r="E253" s="28" t="n"/>
      <c r="F253" s="23" t="n"/>
      <c r="G253" s="20" t="n"/>
      <c r="H253" s="20" t="n"/>
      <c r="I253" s="28" t="n"/>
      <c r="J253" s="28" t="n"/>
      <c r="K253" s="22" t="n"/>
      <c r="L253" s="20" t="n"/>
      <c r="M253" s="22" t="n"/>
      <c r="N253" s="20" t="n"/>
      <c r="O253" s="28" t="n"/>
    </row>
    <row r="254">
      <c r="A254" s="28" t="n"/>
      <c r="B254" s="17">
        <f>IF($A254="","",IFERROR(INDEX(案件管理!$B:$B,MATCH($A254,案件管理!$A:$A,0)),""))</f>
        <v/>
      </c>
      <c r="C254" s="17">
        <f>IF($A254="","",IFERROR(INDEX(案件管理!$AE:$AE,MATCH($A254,案件管理!$A:$A,0)),""))</f>
        <v/>
      </c>
      <c r="D254" s="17">
        <f>IF($A254="","",IFERROR(INDEX(案件管理!$AF:$AF,MATCH($A254,案件管理!$A:$A,0)),""))</f>
        <v/>
      </c>
      <c r="E254" s="28" t="n"/>
      <c r="F254" s="23" t="n"/>
      <c r="G254" s="20" t="n"/>
      <c r="H254" s="20" t="n"/>
      <c r="I254" s="28" t="n"/>
      <c r="J254" s="28" t="n"/>
      <c r="K254" s="22" t="n"/>
      <c r="L254" s="20" t="n"/>
      <c r="M254" s="22" t="n"/>
      <c r="N254" s="20" t="n"/>
      <c r="O254" s="28" t="n"/>
    </row>
    <row r="255">
      <c r="A255" s="28" t="n"/>
      <c r="B255" s="17">
        <f>IF($A255="","",IFERROR(INDEX(案件管理!$B:$B,MATCH($A255,案件管理!$A:$A,0)),""))</f>
        <v/>
      </c>
      <c r="C255" s="17">
        <f>IF($A255="","",IFERROR(INDEX(案件管理!$AE:$AE,MATCH($A255,案件管理!$A:$A,0)),""))</f>
        <v/>
      </c>
      <c r="D255" s="17">
        <f>IF($A255="","",IFERROR(INDEX(案件管理!$AF:$AF,MATCH($A255,案件管理!$A:$A,0)),""))</f>
        <v/>
      </c>
      <c r="E255" s="28" t="n"/>
      <c r="F255" s="23" t="n"/>
      <c r="G255" s="20" t="n"/>
      <c r="H255" s="20" t="n"/>
      <c r="I255" s="28" t="n"/>
      <c r="J255" s="28" t="n"/>
      <c r="K255" s="22" t="n"/>
      <c r="L255" s="20" t="n"/>
      <c r="M255" s="22" t="n"/>
      <c r="N255" s="20" t="n"/>
      <c r="O255" s="28" t="n"/>
    </row>
    <row r="256">
      <c r="A256" s="28" t="n"/>
      <c r="B256" s="17">
        <f>IF($A256="","",IFERROR(INDEX(案件管理!$B:$B,MATCH($A256,案件管理!$A:$A,0)),""))</f>
        <v/>
      </c>
      <c r="C256" s="17">
        <f>IF($A256="","",IFERROR(INDEX(案件管理!$AE:$AE,MATCH($A256,案件管理!$A:$A,0)),""))</f>
        <v/>
      </c>
      <c r="D256" s="17">
        <f>IF($A256="","",IFERROR(INDEX(案件管理!$AF:$AF,MATCH($A256,案件管理!$A:$A,0)),""))</f>
        <v/>
      </c>
      <c r="E256" s="28" t="n"/>
      <c r="F256" s="23" t="n"/>
      <c r="G256" s="20" t="n"/>
      <c r="H256" s="20" t="n"/>
      <c r="I256" s="28" t="n"/>
      <c r="J256" s="28" t="n"/>
      <c r="K256" s="22" t="n"/>
      <c r="L256" s="20" t="n"/>
      <c r="M256" s="22" t="n"/>
      <c r="N256" s="20" t="n"/>
      <c r="O256" s="28" t="n"/>
    </row>
    <row r="257">
      <c r="A257" s="28" t="n"/>
      <c r="B257" s="17">
        <f>IF($A257="","",IFERROR(INDEX(案件管理!$B:$B,MATCH($A257,案件管理!$A:$A,0)),""))</f>
        <v/>
      </c>
      <c r="C257" s="17">
        <f>IF($A257="","",IFERROR(INDEX(案件管理!$AE:$AE,MATCH($A257,案件管理!$A:$A,0)),""))</f>
        <v/>
      </c>
      <c r="D257" s="17">
        <f>IF($A257="","",IFERROR(INDEX(案件管理!$AF:$AF,MATCH($A257,案件管理!$A:$A,0)),""))</f>
        <v/>
      </c>
      <c r="E257" s="28" t="n"/>
      <c r="F257" s="23" t="n"/>
      <c r="G257" s="20" t="n"/>
      <c r="H257" s="20" t="n"/>
      <c r="I257" s="28" t="n"/>
      <c r="J257" s="28" t="n"/>
      <c r="K257" s="22" t="n"/>
      <c r="L257" s="20" t="n"/>
      <c r="M257" s="22" t="n"/>
      <c r="N257" s="20" t="n"/>
      <c r="O257" s="28" t="n"/>
    </row>
    <row r="258">
      <c r="A258" s="28" t="n"/>
      <c r="B258" s="17">
        <f>IF($A258="","",IFERROR(INDEX(案件管理!$B:$B,MATCH($A258,案件管理!$A:$A,0)),""))</f>
        <v/>
      </c>
      <c r="C258" s="17">
        <f>IF($A258="","",IFERROR(INDEX(案件管理!$AE:$AE,MATCH($A258,案件管理!$A:$A,0)),""))</f>
        <v/>
      </c>
      <c r="D258" s="17">
        <f>IF($A258="","",IFERROR(INDEX(案件管理!$AF:$AF,MATCH($A258,案件管理!$A:$A,0)),""))</f>
        <v/>
      </c>
      <c r="E258" s="28" t="n"/>
      <c r="F258" s="23" t="n"/>
      <c r="G258" s="20" t="n"/>
      <c r="H258" s="20" t="n"/>
      <c r="I258" s="28" t="n"/>
      <c r="J258" s="28" t="n"/>
      <c r="K258" s="22" t="n"/>
      <c r="L258" s="20" t="n"/>
      <c r="M258" s="22" t="n"/>
      <c r="N258" s="20" t="n"/>
      <c r="O258" s="28" t="n"/>
    </row>
    <row r="259">
      <c r="A259" s="28" t="n"/>
      <c r="B259" s="17">
        <f>IF($A259="","",IFERROR(INDEX(案件管理!$B:$B,MATCH($A259,案件管理!$A:$A,0)),""))</f>
        <v/>
      </c>
      <c r="C259" s="17">
        <f>IF($A259="","",IFERROR(INDEX(案件管理!$AE:$AE,MATCH($A259,案件管理!$A:$A,0)),""))</f>
        <v/>
      </c>
      <c r="D259" s="17">
        <f>IF($A259="","",IFERROR(INDEX(案件管理!$AF:$AF,MATCH($A259,案件管理!$A:$A,0)),""))</f>
        <v/>
      </c>
      <c r="E259" s="28" t="n"/>
      <c r="F259" s="23" t="n"/>
      <c r="G259" s="20" t="n"/>
      <c r="H259" s="20" t="n"/>
      <c r="I259" s="28" t="n"/>
      <c r="J259" s="28" t="n"/>
      <c r="K259" s="22" t="n"/>
      <c r="L259" s="20" t="n"/>
      <c r="M259" s="22" t="n"/>
      <c r="N259" s="20" t="n"/>
      <c r="O259" s="28" t="n"/>
    </row>
    <row r="260">
      <c r="A260" s="28" t="n"/>
      <c r="B260" s="17">
        <f>IF($A260="","",IFERROR(INDEX(案件管理!$B:$B,MATCH($A260,案件管理!$A:$A,0)),""))</f>
        <v/>
      </c>
      <c r="C260" s="17">
        <f>IF($A260="","",IFERROR(INDEX(案件管理!$AE:$AE,MATCH($A260,案件管理!$A:$A,0)),""))</f>
        <v/>
      </c>
      <c r="D260" s="17">
        <f>IF($A260="","",IFERROR(INDEX(案件管理!$AF:$AF,MATCH($A260,案件管理!$A:$A,0)),""))</f>
        <v/>
      </c>
      <c r="E260" s="28" t="n"/>
      <c r="F260" s="23" t="n"/>
      <c r="G260" s="20" t="n"/>
      <c r="H260" s="20" t="n"/>
      <c r="I260" s="28" t="n"/>
      <c r="J260" s="28" t="n"/>
      <c r="K260" s="22" t="n"/>
      <c r="L260" s="20" t="n"/>
      <c r="M260" s="22" t="n"/>
      <c r="N260" s="20" t="n"/>
      <c r="O260" s="28" t="n"/>
    </row>
    <row r="261">
      <c r="A261" s="28" t="n"/>
      <c r="B261" s="17">
        <f>IF($A261="","",IFERROR(INDEX(案件管理!$B:$B,MATCH($A261,案件管理!$A:$A,0)),""))</f>
        <v/>
      </c>
      <c r="C261" s="17">
        <f>IF($A261="","",IFERROR(INDEX(案件管理!$AE:$AE,MATCH($A261,案件管理!$A:$A,0)),""))</f>
        <v/>
      </c>
      <c r="D261" s="17">
        <f>IF($A261="","",IFERROR(INDEX(案件管理!$AF:$AF,MATCH($A261,案件管理!$A:$A,0)),""))</f>
        <v/>
      </c>
      <c r="E261" s="28" t="n"/>
      <c r="F261" s="23" t="n"/>
      <c r="G261" s="20" t="n"/>
      <c r="H261" s="20" t="n"/>
      <c r="I261" s="28" t="n"/>
      <c r="J261" s="28" t="n"/>
      <c r="K261" s="22" t="n"/>
      <c r="L261" s="20" t="n"/>
      <c r="M261" s="22" t="n"/>
      <c r="N261" s="20" t="n"/>
      <c r="O261" s="28" t="n"/>
    </row>
    <row r="262">
      <c r="A262" s="28" t="n"/>
      <c r="B262" s="17">
        <f>IF($A262="","",IFERROR(INDEX(案件管理!$B:$B,MATCH($A262,案件管理!$A:$A,0)),""))</f>
        <v/>
      </c>
      <c r="C262" s="17">
        <f>IF($A262="","",IFERROR(INDEX(案件管理!$AE:$AE,MATCH($A262,案件管理!$A:$A,0)),""))</f>
        <v/>
      </c>
      <c r="D262" s="17">
        <f>IF($A262="","",IFERROR(INDEX(案件管理!$AF:$AF,MATCH($A262,案件管理!$A:$A,0)),""))</f>
        <v/>
      </c>
      <c r="E262" s="28" t="n"/>
      <c r="F262" s="23" t="n"/>
      <c r="G262" s="20" t="n"/>
      <c r="H262" s="20" t="n"/>
      <c r="I262" s="28" t="n"/>
      <c r="J262" s="28" t="n"/>
      <c r="K262" s="22" t="n"/>
      <c r="L262" s="20" t="n"/>
      <c r="M262" s="22" t="n"/>
      <c r="N262" s="20" t="n"/>
      <c r="O262" s="28" t="n"/>
    </row>
    <row r="263">
      <c r="A263" s="28" t="n"/>
      <c r="B263" s="17">
        <f>IF($A263="","",IFERROR(INDEX(案件管理!$B:$B,MATCH($A263,案件管理!$A:$A,0)),""))</f>
        <v/>
      </c>
      <c r="C263" s="17">
        <f>IF($A263="","",IFERROR(INDEX(案件管理!$AE:$AE,MATCH($A263,案件管理!$A:$A,0)),""))</f>
        <v/>
      </c>
      <c r="D263" s="17">
        <f>IF($A263="","",IFERROR(INDEX(案件管理!$AF:$AF,MATCH($A263,案件管理!$A:$A,0)),""))</f>
        <v/>
      </c>
      <c r="E263" s="28" t="n"/>
      <c r="F263" s="23" t="n"/>
      <c r="G263" s="20" t="n"/>
      <c r="H263" s="20" t="n"/>
      <c r="I263" s="28" t="n"/>
      <c r="J263" s="28" t="n"/>
      <c r="K263" s="22" t="n"/>
      <c r="L263" s="20" t="n"/>
      <c r="M263" s="22" t="n"/>
      <c r="N263" s="20" t="n"/>
      <c r="O263" s="28" t="n"/>
    </row>
    <row r="264">
      <c r="A264" s="28" t="n"/>
      <c r="B264" s="17">
        <f>IF($A264="","",IFERROR(INDEX(案件管理!$B:$B,MATCH($A264,案件管理!$A:$A,0)),""))</f>
        <v/>
      </c>
      <c r="C264" s="17">
        <f>IF($A264="","",IFERROR(INDEX(案件管理!$AE:$AE,MATCH($A264,案件管理!$A:$A,0)),""))</f>
        <v/>
      </c>
      <c r="D264" s="17">
        <f>IF($A264="","",IFERROR(INDEX(案件管理!$AF:$AF,MATCH($A264,案件管理!$A:$A,0)),""))</f>
        <v/>
      </c>
      <c r="E264" s="28" t="n"/>
      <c r="F264" s="23" t="n"/>
      <c r="G264" s="20" t="n"/>
      <c r="H264" s="20" t="n"/>
      <c r="I264" s="28" t="n"/>
      <c r="J264" s="28" t="n"/>
      <c r="K264" s="22" t="n"/>
      <c r="L264" s="20" t="n"/>
      <c r="M264" s="22" t="n"/>
      <c r="N264" s="20" t="n"/>
      <c r="O264" s="28" t="n"/>
    </row>
    <row r="265">
      <c r="A265" s="28" t="n"/>
      <c r="B265" s="17">
        <f>IF($A265="","",IFERROR(INDEX(案件管理!$B:$B,MATCH($A265,案件管理!$A:$A,0)),""))</f>
        <v/>
      </c>
      <c r="C265" s="17">
        <f>IF($A265="","",IFERROR(INDEX(案件管理!$AE:$AE,MATCH($A265,案件管理!$A:$A,0)),""))</f>
        <v/>
      </c>
      <c r="D265" s="17">
        <f>IF($A265="","",IFERROR(INDEX(案件管理!$AF:$AF,MATCH($A265,案件管理!$A:$A,0)),""))</f>
        <v/>
      </c>
      <c r="E265" s="28" t="n"/>
      <c r="F265" s="23" t="n"/>
      <c r="G265" s="20" t="n"/>
      <c r="H265" s="20" t="n"/>
      <c r="I265" s="28" t="n"/>
      <c r="J265" s="28" t="n"/>
      <c r="K265" s="22" t="n"/>
      <c r="L265" s="20" t="n"/>
      <c r="M265" s="22" t="n"/>
      <c r="N265" s="20" t="n"/>
      <c r="O265" s="28" t="n"/>
    </row>
    <row r="266">
      <c r="A266" s="28" t="n"/>
      <c r="B266" s="17">
        <f>IF($A266="","",IFERROR(INDEX(案件管理!$B:$B,MATCH($A266,案件管理!$A:$A,0)),""))</f>
        <v/>
      </c>
      <c r="C266" s="17">
        <f>IF($A266="","",IFERROR(INDEX(案件管理!$AE:$AE,MATCH($A266,案件管理!$A:$A,0)),""))</f>
        <v/>
      </c>
      <c r="D266" s="17">
        <f>IF($A266="","",IFERROR(INDEX(案件管理!$AF:$AF,MATCH($A266,案件管理!$A:$A,0)),""))</f>
        <v/>
      </c>
      <c r="E266" s="28" t="n"/>
      <c r="F266" s="23" t="n"/>
      <c r="G266" s="20" t="n"/>
      <c r="H266" s="20" t="n"/>
      <c r="I266" s="28" t="n"/>
      <c r="J266" s="28" t="n"/>
      <c r="K266" s="22" t="n"/>
      <c r="L266" s="20" t="n"/>
      <c r="M266" s="22" t="n"/>
      <c r="N266" s="20" t="n"/>
      <c r="O266" s="28" t="n"/>
    </row>
    <row r="267">
      <c r="A267" s="28" t="n"/>
      <c r="B267" s="17">
        <f>IF($A267="","",IFERROR(INDEX(案件管理!$B:$B,MATCH($A267,案件管理!$A:$A,0)),""))</f>
        <v/>
      </c>
      <c r="C267" s="17">
        <f>IF($A267="","",IFERROR(INDEX(案件管理!$AE:$AE,MATCH($A267,案件管理!$A:$A,0)),""))</f>
        <v/>
      </c>
      <c r="D267" s="17">
        <f>IF($A267="","",IFERROR(INDEX(案件管理!$AF:$AF,MATCH($A267,案件管理!$A:$A,0)),""))</f>
        <v/>
      </c>
      <c r="E267" s="28" t="n"/>
      <c r="F267" s="23" t="n"/>
      <c r="G267" s="20" t="n"/>
      <c r="H267" s="20" t="n"/>
      <c r="I267" s="28" t="n"/>
      <c r="J267" s="28" t="n"/>
      <c r="K267" s="22" t="n"/>
      <c r="L267" s="20" t="n"/>
      <c r="M267" s="22" t="n"/>
      <c r="N267" s="20" t="n"/>
      <c r="O267" s="28" t="n"/>
    </row>
    <row r="268">
      <c r="A268" s="28" t="n"/>
      <c r="B268" s="17">
        <f>IF($A268="","",IFERROR(INDEX(案件管理!$B:$B,MATCH($A268,案件管理!$A:$A,0)),""))</f>
        <v/>
      </c>
      <c r="C268" s="17">
        <f>IF($A268="","",IFERROR(INDEX(案件管理!$AE:$AE,MATCH($A268,案件管理!$A:$A,0)),""))</f>
        <v/>
      </c>
      <c r="D268" s="17">
        <f>IF($A268="","",IFERROR(INDEX(案件管理!$AF:$AF,MATCH($A268,案件管理!$A:$A,0)),""))</f>
        <v/>
      </c>
      <c r="E268" s="28" t="n"/>
      <c r="F268" s="23" t="n"/>
      <c r="G268" s="20" t="n"/>
      <c r="H268" s="20" t="n"/>
      <c r="I268" s="28" t="n"/>
      <c r="J268" s="28" t="n"/>
      <c r="K268" s="22" t="n"/>
      <c r="L268" s="20" t="n"/>
      <c r="M268" s="22" t="n"/>
      <c r="N268" s="20" t="n"/>
      <c r="O268" s="28" t="n"/>
    </row>
    <row r="269">
      <c r="A269" s="28" t="n"/>
      <c r="B269" s="17">
        <f>IF($A269="","",IFERROR(INDEX(案件管理!$B:$B,MATCH($A269,案件管理!$A:$A,0)),""))</f>
        <v/>
      </c>
      <c r="C269" s="17">
        <f>IF($A269="","",IFERROR(INDEX(案件管理!$AE:$AE,MATCH($A269,案件管理!$A:$A,0)),""))</f>
        <v/>
      </c>
      <c r="D269" s="17">
        <f>IF($A269="","",IFERROR(INDEX(案件管理!$AF:$AF,MATCH($A269,案件管理!$A:$A,0)),""))</f>
        <v/>
      </c>
      <c r="E269" s="28" t="n"/>
      <c r="F269" s="23" t="n"/>
      <c r="G269" s="20" t="n"/>
      <c r="H269" s="20" t="n"/>
      <c r="I269" s="28" t="n"/>
      <c r="J269" s="28" t="n"/>
      <c r="K269" s="22" t="n"/>
      <c r="L269" s="20" t="n"/>
      <c r="M269" s="22" t="n"/>
      <c r="N269" s="20" t="n"/>
      <c r="O269" s="28" t="n"/>
    </row>
    <row r="270">
      <c r="A270" s="28" t="n"/>
      <c r="B270" s="17">
        <f>IF($A270="","",IFERROR(INDEX(案件管理!$B:$B,MATCH($A270,案件管理!$A:$A,0)),""))</f>
        <v/>
      </c>
      <c r="C270" s="17">
        <f>IF($A270="","",IFERROR(INDEX(案件管理!$AE:$AE,MATCH($A270,案件管理!$A:$A,0)),""))</f>
        <v/>
      </c>
      <c r="D270" s="17">
        <f>IF($A270="","",IFERROR(INDEX(案件管理!$AF:$AF,MATCH($A270,案件管理!$A:$A,0)),""))</f>
        <v/>
      </c>
      <c r="E270" s="28" t="n"/>
      <c r="F270" s="23" t="n"/>
      <c r="G270" s="20" t="n"/>
      <c r="H270" s="20" t="n"/>
      <c r="I270" s="28" t="n"/>
      <c r="J270" s="28" t="n"/>
      <c r="K270" s="22" t="n"/>
      <c r="L270" s="20" t="n"/>
      <c r="M270" s="22" t="n"/>
      <c r="N270" s="20" t="n"/>
      <c r="O270" s="28" t="n"/>
    </row>
    <row r="271">
      <c r="A271" s="28" t="n"/>
      <c r="B271" s="17">
        <f>IF($A271="","",IFERROR(INDEX(案件管理!$B:$B,MATCH($A271,案件管理!$A:$A,0)),""))</f>
        <v/>
      </c>
      <c r="C271" s="17">
        <f>IF($A271="","",IFERROR(INDEX(案件管理!$AE:$AE,MATCH($A271,案件管理!$A:$A,0)),""))</f>
        <v/>
      </c>
      <c r="D271" s="17">
        <f>IF($A271="","",IFERROR(INDEX(案件管理!$AF:$AF,MATCH($A271,案件管理!$A:$A,0)),""))</f>
        <v/>
      </c>
      <c r="E271" s="28" t="n"/>
      <c r="F271" s="23" t="n"/>
      <c r="G271" s="20" t="n"/>
      <c r="H271" s="20" t="n"/>
      <c r="I271" s="28" t="n"/>
      <c r="J271" s="28" t="n"/>
      <c r="K271" s="22" t="n"/>
      <c r="L271" s="20" t="n"/>
      <c r="M271" s="22" t="n"/>
      <c r="N271" s="20" t="n"/>
      <c r="O271" s="28" t="n"/>
    </row>
    <row r="272">
      <c r="A272" s="28" t="n"/>
      <c r="B272" s="17">
        <f>IF($A272="","",IFERROR(INDEX(案件管理!$B:$B,MATCH($A272,案件管理!$A:$A,0)),""))</f>
        <v/>
      </c>
      <c r="C272" s="17">
        <f>IF($A272="","",IFERROR(INDEX(案件管理!$AE:$AE,MATCH($A272,案件管理!$A:$A,0)),""))</f>
        <v/>
      </c>
      <c r="D272" s="17">
        <f>IF($A272="","",IFERROR(INDEX(案件管理!$AF:$AF,MATCH($A272,案件管理!$A:$A,0)),""))</f>
        <v/>
      </c>
      <c r="E272" s="28" t="n"/>
      <c r="F272" s="23" t="n"/>
      <c r="G272" s="20" t="n"/>
      <c r="H272" s="20" t="n"/>
      <c r="I272" s="28" t="n"/>
      <c r="J272" s="28" t="n"/>
      <c r="K272" s="22" t="n"/>
      <c r="L272" s="20" t="n"/>
      <c r="M272" s="22" t="n"/>
      <c r="N272" s="20" t="n"/>
      <c r="O272" s="28" t="n"/>
    </row>
    <row r="273">
      <c r="A273" s="28" t="n"/>
      <c r="B273" s="17">
        <f>IF($A273="","",IFERROR(INDEX(案件管理!$B:$B,MATCH($A273,案件管理!$A:$A,0)),""))</f>
        <v/>
      </c>
      <c r="C273" s="17">
        <f>IF($A273="","",IFERROR(INDEX(案件管理!$AE:$AE,MATCH($A273,案件管理!$A:$A,0)),""))</f>
        <v/>
      </c>
      <c r="D273" s="17">
        <f>IF($A273="","",IFERROR(INDEX(案件管理!$AF:$AF,MATCH($A273,案件管理!$A:$A,0)),""))</f>
        <v/>
      </c>
      <c r="E273" s="28" t="n"/>
      <c r="F273" s="23" t="n"/>
      <c r="G273" s="20" t="n"/>
      <c r="H273" s="20" t="n"/>
      <c r="I273" s="28" t="n"/>
      <c r="J273" s="28" t="n"/>
      <c r="K273" s="22" t="n"/>
      <c r="L273" s="20" t="n"/>
      <c r="M273" s="22" t="n"/>
      <c r="N273" s="20" t="n"/>
      <c r="O273" s="28" t="n"/>
    </row>
    <row r="274">
      <c r="A274" s="28" t="n"/>
      <c r="B274" s="17">
        <f>IF($A274="","",IFERROR(INDEX(案件管理!$B:$B,MATCH($A274,案件管理!$A:$A,0)),""))</f>
        <v/>
      </c>
      <c r="C274" s="17">
        <f>IF($A274="","",IFERROR(INDEX(案件管理!$AE:$AE,MATCH($A274,案件管理!$A:$A,0)),""))</f>
        <v/>
      </c>
      <c r="D274" s="17">
        <f>IF($A274="","",IFERROR(INDEX(案件管理!$AF:$AF,MATCH($A274,案件管理!$A:$A,0)),""))</f>
        <v/>
      </c>
      <c r="E274" s="28" t="n"/>
      <c r="F274" s="23" t="n"/>
      <c r="G274" s="20" t="n"/>
      <c r="H274" s="20" t="n"/>
      <c r="I274" s="28" t="n"/>
      <c r="J274" s="28" t="n"/>
      <c r="K274" s="22" t="n"/>
      <c r="L274" s="20" t="n"/>
      <c r="M274" s="22" t="n"/>
      <c r="N274" s="20" t="n"/>
      <c r="O274" s="28" t="n"/>
    </row>
    <row r="275">
      <c r="A275" s="28" t="n"/>
      <c r="B275" s="17">
        <f>IF($A275="","",IFERROR(INDEX(案件管理!$B:$B,MATCH($A275,案件管理!$A:$A,0)),""))</f>
        <v/>
      </c>
      <c r="C275" s="17">
        <f>IF($A275="","",IFERROR(INDEX(案件管理!$AE:$AE,MATCH($A275,案件管理!$A:$A,0)),""))</f>
        <v/>
      </c>
      <c r="D275" s="17">
        <f>IF($A275="","",IFERROR(INDEX(案件管理!$AF:$AF,MATCH($A275,案件管理!$A:$A,0)),""))</f>
        <v/>
      </c>
      <c r="E275" s="28" t="n"/>
      <c r="F275" s="23" t="n"/>
      <c r="G275" s="20" t="n"/>
      <c r="H275" s="20" t="n"/>
      <c r="I275" s="28" t="n"/>
      <c r="J275" s="28" t="n"/>
      <c r="K275" s="22" t="n"/>
      <c r="L275" s="20" t="n"/>
      <c r="M275" s="22" t="n"/>
      <c r="N275" s="20" t="n"/>
      <c r="O275" s="28" t="n"/>
    </row>
    <row r="276">
      <c r="A276" s="28" t="n"/>
      <c r="B276" s="17">
        <f>IF($A276="","",IFERROR(INDEX(案件管理!$B:$B,MATCH($A276,案件管理!$A:$A,0)),""))</f>
        <v/>
      </c>
      <c r="C276" s="17">
        <f>IF($A276="","",IFERROR(INDEX(案件管理!$AE:$AE,MATCH($A276,案件管理!$A:$A,0)),""))</f>
        <v/>
      </c>
      <c r="D276" s="17">
        <f>IF($A276="","",IFERROR(INDEX(案件管理!$AF:$AF,MATCH($A276,案件管理!$A:$A,0)),""))</f>
        <v/>
      </c>
      <c r="E276" s="28" t="n"/>
      <c r="F276" s="23" t="n"/>
      <c r="G276" s="20" t="n"/>
      <c r="H276" s="20" t="n"/>
      <c r="I276" s="28" t="n"/>
      <c r="J276" s="28" t="n"/>
      <c r="K276" s="22" t="n"/>
      <c r="L276" s="20" t="n"/>
      <c r="M276" s="22" t="n"/>
      <c r="N276" s="20" t="n"/>
      <c r="O276" s="28" t="n"/>
    </row>
    <row r="277">
      <c r="A277" s="28" t="n"/>
      <c r="B277" s="17">
        <f>IF($A277="","",IFERROR(INDEX(案件管理!$B:$B,MATCH($A277,案件管理!$A:$A,0)),""))</f>
        <v/>
      </c>
      <c r="C277" s="17">
        <f>IF($A277="","",IFERROR(INDEX(案件管理!$AE:$AE,MATCH($A277,案件管理!$A:$A,0)),""))</f>
        <v/>
      </c>
      <c r="D277" s="17">
        <f>IF($A277="","",IFERROR(INDEX(案件管理!$AF:$AF,MATCH($A277,案件管理!$A:$A,0)),""))</f>
        <v/>
      </c>
      <c r="E277" s="28" t="n"/>
      <c r="F277" s="23" t="n"/>
      <c r="G277" s="20" t="n"/>
      <c r="H277" s="20" t="n"/>
      <c r="I277" s="28" t="n"/>
      <c r="J277" s="28" t="n"/>
      <c r="K277" s="22" t="n"/>
      <c r="L277" s="20" t="n"/>
      <c r="M277" s="22" t="n"/>
      <c r="N277" s="20" t="n"/>
      <c r="O277" s="28" t="n"/>
    </row>
    <row r="278">
      <c r="A278" s="28" t="n"/>
      <c r="B278" s="17">
        <f>IF($A278="","",IFERROR(INDEX(案件管理!$B:$B,MATCH($A278,案件管理!$A:$A,0)),""))</f>
        <v/>
      </c>
      <c r="C278" s="17">
        <f>IF($A278="","",IFERROR(INDEX(案件管理!$AE:$AE,MATCH($A278,案件管理!$A:$A,0)),""))</f>
        <v/>
      </c>
      <c r="D278" s="17">
        <f>IF($A278="","",IFERROR(INDEX(案件管理!$AF:$AF,MATCH($A278,案件管理!$A:$A,0)),""))</f>
        <v/>
      </c>
      <c r="E278" s="28" t="n"/>
      <c r="F278" s="23" t="n"/>
      <c r="G278" s="20" t="n"/>
      <c r="H278" s="20" t="n"/>
      <c r="I278" s="28" t="n"/>
      <c r="J278" s="28" t="n"/>
      <c r="K278" s="22" t="n"/>
      <c r="L278" s="20" t="n"/>
      <c r="M278" s="22" t="n"/>
      <c r="N278" s="20" t="n"/>
      <c r="O278" s="28" t="n"/>
    </row>
    <row r="279">
      <c r="A279" s="28" t="n"/>
      <c r="B279" s="17">
        <f>IF($A279="","",IFERROR(INDEX(案件管理!$B:$B,MATCH($A279,案件管理!$A:$A,0)),""))</f>
        <v/>
      </c>
      <c r="C279" s="17">
        <f>IF($A279="","",IFERROR(INDEX(案件管理!$AE:$AE,MATCH($A279,案件管理!$A:$A,0)),""))</f>
        <v/>
      </c>
      <c r="D279" s="17">
        <f>IF($A279="","",IFERROR(INDEX(案件管理!$AF:$AF,MATCH($A279,案件管理!$A:$A,0)),""))</f>
        <v/>
      </c>
      <c r="E279" s="28" t="n"/>
      <c r="F279" s="23" t="n"/>
      <c r="G279" s="20" t="n"/>
      <c r="H279" s="20" t="n"/>
      <c r="I279" s="28" t="n"/>
      <c r="J279" s="28" t="n"/>
      <c r="K279" s="22" t="n"/>
      <c r="L279" s="20" t="n"/>
      <c r="M279" s="22" t="n"/>
      <c r="N279" s="20" t="n"/>
      <c r="O279" s="28" t="n"/>
    </row>
    <row r="280">
      <c r="A280" s="28" t="n"/>
      <c r="B280" s="17">
        <f>IF($A280="","",IFERROR(INDEX(案件管理!$B:$B,MATCH($A280,案件管理!$A:$A,0)),""))</f>
        <v/>
      </c>
      <c r="C280" s="17">
        <f>IF($A280="","",IFERROR(INDEX(案件管理!$AE:$AE,MATCH($A280,案件管理!$A:$A,0)),""))</f>
        <v/>
      </c>
      <c r="D280" s="17">
        <f>IF($A280="","",IFERROR(INDEX(案件管理!$AF:$AF,MATCH($A280,案件管理!$A:$A,0)),""))</f>
        <v/>
      </c>
      <c r="E280" s="28" t="n"/>
      <c r="F280" s="23" t="n"/>
      <c r="G280" s="20" t="n"/>
      <c r="H280" s="20" t="n"/>
      <c r="I280" s="28" t="n"/>
      <c r="J280" s="28" t="n"/>
      <c r="K280" s="22" t="n"/>
      <c r="L280" s="20" t="n"/>
      <c r="M280" s="22" t="n"/>
      <c r="N280" s="20" t="n"/>
      <c r="O280" s="28" t="n"/>
    </row>
    <row r="281">
      <c r="A281" s="28" t="n"/>
      <c r="B281" s="17">
        <f>IF($A281="","",IFERROR(INDEX(案件管理!$B:$B,MATCH($A281,案件管理!$A:$A,0)),""))</f>
        <v/>
      </c>
      <c r="C281" s="17">
        <f>IF($A281="","",IFERROR(INDEX(案件管理!$AE:$AE,MATCH($A281,案件管理!$A:$A,0)),""))</f>
        <v/>
      </c>
      <c r="D281" s="17">
        <f>IF($A281="","",IFERROR(INDEX(案件管理!$AF:$AF,MATCH($A281,案件管理!$A:$A,0)),""))</f>
        <v/>
      </c>
      <c r="E281" s="28" t="n"/>
      <c r="F281" s="23" t="n"/>
      <c r="G281" s="20" t="n"/>
      <c r="H281" s="20" t="n"/>
      <c r="I281" s="28" t="n"/>
      <c r="J281" s="28" t="n"/>
      <c r="K281" s="22" t="n"/>
      <c r="L281" s="20" t="n"/>
      <c r="M281" s="22" t="n"/>
      <c r="N281" s="20" t="n"/>
      <c r="O281" s="28" t="n"/>
    </row>
    <row r="282">
      <c r="A282" s="28" t="n"/>
      <c r="B282" s="17">
        <f>IF($A282="","",IFERROR(INDEX(案件管理!$B:$B,MATCH($A282,案件管理!$A:$A,0)),""))</f>
        <v/>
      </c>
      <c r="C282" s="17">
        <f>IF($A282="","",IFERROR(INDEX(案件管理!$AE:$AE,MATCH($A282,案件管理!$A:$A,0)),""))</f>
        <v/>
      </c>
      <c r="D282" s="17">
        <f>IF($A282="","",IFERROR(INDEX(案件管理!$AF:$AF,MATCH($A282,案件管理!$A:$A,0)),""))</f>
        <v/>
      </c>
      <c r="E282" s="28" t="n"/>
      <c r="F282" s="23" t="n"/>
      <c r="G282" s="20" t="n"/>
      <c r="H282" s="20" t="n"/>
      <c r="I282" s="28" t="n"/>
      <c r="J282" s="28" t="n"/>
      <c r="K282" s="22" t="n"/>
      <c r="L282" s="20" t="n"/>
      <c r="M282" s="22" t="n"/>
      <c r="N282" s="20" t="n"/>
      <c r="O282" s="28" t="n"/>
    </row>
    <row r="283">
      <c r="A283" s="28" t="n"/>
      <c r="B283" s="17">
        <f>IF($A283="","",IFERROR(INDEX(案件管理!$B:$B,MATCH($A283,案件管理!$A:$A,0)),""))</f>
        <v/>
      </c>
      <c r="C283" s="17">
        <f>IF($A283="","",IFERROR(INDEX(案件管理!$AE:$AE,MATCH($A283,案件管理!$A:$A,0)),""))</f>
        <v/>
      </c>
      <c r="D283" s="17">
        <f>IF($A283="","",IFERROR(INDEX(案件管理!$AF:$AF,MATCH($A283,案件管理!$A:$A,0)),""))</f>
        <v/>
      </c>
      <c r="E283" s="28" t="n"/>
      <c r="F283" s="23" t="n"/>
      <c r="G283" s="20" t="n"/>
      <c r="H283" s="20" t="n"/>
      <c r="I283" s="28" t="n"/>
      <c r="J283" s="28" t="n"/>
      <c r="K283" s="22" t="n"/>
      <c r="L283" s="20" t="n"/>
      <c r="M283" s="22" t="n"/>
      <c r="N283" s="20" t="n"/>
      <c r="O283" s="28" t="n"/>
    </row>
    <row r="284">
      <c r="A284" s="28" t="n"/>
      <c r="B284" s="17">
        <f>IF($A284="","",IFERROR(INDEX(案件管理!$B:$B,MATCH($A284,案件管理!$A:$A,0)),""))</f>
        <v/>
      </c>
      <c r="C284" s="17">
        <f>IF($A284="","",IFERROR(INDEX(案件管理!$AE:$AE,MATCH($A284,案件管理!$A:$A,0)),""))</f>
        <v/>
      </c>
      <c r="D284" s="17">
        <f>IF($A284="","",IFERROR(INDEX(案件管理!$AF:$AF,MATCH($A284,案件管理!$A:$A,0)),""))</f>
        <v/>
      </c>
      <c r="E284" s="28" t="n"/>
      <c r="F284" s="23" t="n"/>
      <c r="G284" s="20" t="n"/>
      <c r="H284" s="20" t="n"/>
      <c r="I284" s="28" t="n"/>
      <c r="J284" s="28" t="n"/>
      <c r="K284" s="22" t="n"/>
      <c r="L284" s="20" t="n"/>
      <c r="M284" s="22" t="n"/>
      <c r="N284" s="20" t="n"/>
      <c r="O284" s="28" t="n"/>
    </row>
    <row r="285">
      <c r="A285" s="28" t="n"/>
      <c r="B285" s="17">
        <f>IF($A285="","",IFERROR(INDEX(案件管理!$B:$B,MATCH($A285,案件管理!$A:$A,0)),""))</f>
        <v/>
      </c>
      <c r="C285" s="17">
        <f>IF($A285="","",IFERROR(INDEX(案件管理!$AE:$AE,MATCH($A285,案件管理!$A:$A,0)),""))</f>
        <v/>
      </c>
      <c r="D285" s="17">
        <f>IF($A285="","",IFERROR(INDEX(案件管理!$AF:$AF,MATCH($A285,案件管理!$A:$A,0)),""))</f>
        <v/>
      </c>
      <c r="E285" s="28" t="n"/>
      <c r="F285" s="23" t="n"/>
      <c r="G285" s="20" t="n"/>
      <c r="H285" s="20" t="n"/>
      <c r="I285" s="28" t="n"/>
      <c r="J285" s="28" t="n"/>
      <c r="K285" s="22" t="n"/>
      <c r="L285" s="20" t="n"/>
      <c r="M285" s="22" t="n"/>
      <c r="N285" s="20" t="n"/>
      <c r="O285" s="28" t="n"/>
    </row>
    <row r="286">
      <c r="A286" s="28" t="n"/>
      <c r="B286" s="17">
        <f>IF($A286="","",IFERROR(INDEX(案件管理!$B:$B,MATCH($A286,案件管理!$A:$A,0)),""))</f>
        <v/>
      </c>
      <c r="C286" s="17">
        <f>IF($A286="","",IFERROR(INDEX(案件管理!$AE:$AE,MATCH($A286,案件管理!$A:$A,0)),""))</f>
        <v/>
      </c>
      <c r="D286" s="17">
        <f>IF($A286="","",IFERROR(INDEX(案件管理!$AF:$AF,MATCH($A286,案件管理!$A:$A,0)),""))</f>
        <v/>
      </c>
      <c r="E286" s="28" t="n"/>
      <c r="F286" s="23" t="n"/>
      <c r="G286" s="20" t="n"/>
      <c r="H286" s="20" t="n"/>
      <c r="I286" s="28" t="n"/>
      <c r="J286" s="28" t="n"/>
      <c r="K286" s="22" t="n"/>
      <c r="L286" s="20" t="n"/>
      <c r="M286" s="22" t="n"/>
      <c r="N286" s="20" t="n"/>
      <c r="O286" s="28" t="n"/>
    </row>
    <row r="287">
      <c r="A287" s="28" t="n"/>
      <c r="B287" s="17">
        <f>IF($A287="","",IFERROR(INDEX(案件管理!$B:$B,MATCH($A287,案件管理!$A:$A,0)),""))</f>
        <v/>
      </c>
      <c r="C287" s="17">
        <f>IF($A287="","",IFERROR(INDEX(案件管理!$AE:$AE,MATCH($A287,案件管理!$A:$A,0)),""))</f>
        <v/>
      </c>
      <c r="D287" s="17">
        <f>IF($A287="","",IFERROR(INDEX(案件管理!$AF:$AF,MATCH($A287,案件管理!$A:$A,0)),""))</f>
        <v/>
      </c>
      <c r="E287" s="28" t="n"/>
      <c r="F287" s="23" t="n"/>
      <c r="G287" s="20" t="n"/>
      <c r="H287" s="20" t="n"/>
      <c r="I287" s="28" t="n"/>
      <c r="J287" s="28" t="n"/>
      <c r="K287" s="22" t="n"/>
      <c r="L287" s="20" t="n"/>
      <c r="M287" s="22" t="n"/>
      <c r="N287" s="20" t="n"/>
      <c r="O287" s="28" t="n"/>
    </row>
    <row r="288">
      <c r="A288" s="28" t="n"/>
      <c r="B288" s="17">
        <f>IF($A288="","",IFERROR(INDEX(案件管理!$B:$B,MATCH($A288,案件管理!$A:$A,0)),""))</f>
        <v/>
      </c>
      <c r="C288" s="17">
        <f>IF($A288="","",IFERROR(INDEX(案件管理!$AE:$AE,MATCH($A288,案件管理!$A:$A,0)),""))</f>
        <v/>
      </c>
      <c r="D288" s="17">
        <f>IF($A288="","",IFERROR(INDEX(案件管理!$AF:$AF,MATCH($A288,案件管理!$A:$A,0)),""))</f>
        <v/>
      </c>
      <c r="E288" s="28" t="n"/>
      <c r="F288" s="23" t="n"/>
      <c r="G288" s="20" t="n"/>
      <c r="H288" s="20" t="n"/>
      <c r="I288" s="28" t="n"/>
      <c r="J288" s="28" t="n"/>
      <c r="K288" s="22" t="n"/>
      <c r="L288" s="20" t="n"/>
      <c r="M288" s="22" t="n"/>
      <c r="N288" s="20" t="n"/>
      <c r="O288" s="28" t="n"/>
    </row>
    <row r="289">
      <c r="A289" s="28" t="n"/>
      <c r="B289" s="17">
        <f>IF($A289="","",IFERROR(INDEX(案件管理!$B:$B,MATCH($A289,案件管理!$A:$A,0)),""))</f>
        <v/>
      </c>
      <c r="C289" s="17">
        <f>IF($A289="","",IFERROR(INDEX(案件管理!$AE:$AE,MATCH($A289,案件管理!$A:$A,0)),""))</f>
        <v/>
      </c>
      <c r="D289" s="17">
        <f>IF($A289="","",IFERROR(INDEX(案件管理!$AF:$AF,MATCH($A289,案件管理!$A:$A,0)),""))</f>
        <v/>
      </c>
      <c r="E289" s="28" t="n"/>
      <c r="F289" s="23" t="n"/>
      <c r="G289" s="20" t="n"/>
      <c r="H289" s="20" t="n"/>
      <c r="I289" s="28" t="n"/>
      <c r="J289" s="28" t="n"/>
      <c r="K289" s="22" t="n"/>
      <c r="L289" s="20" t="n"/>
      <c r="M289" s="22" t="n"/>
      <c r="N289" s="20" t="n"/>
      <c r="O289" s="28" t="n"/>
    </row>
    <row r="290">
      <c r="A290" s="28" t="n"/>
      <c r="B290" s="17">
        <f>IF($A290="","",IFERROR(INDEX(案件管理!$B:$B,MATCH($A290,案件管理!$A:$A,0)),""))</f>
        <v/>
      </c>
      <c r="C290" s="17">
        <f>IF($A290="","",IFERROR(INDEX(案件管理!$AE:$AE,MATCH($A290,案件管理!$A:$A,0)),""))</f>
        <v/>
      </c>
      <c r="D290" s="17">
        <f>IF($A290="","",IFERROR(INDEX(案件管理!$AF:$AF,MATCH($A290,案件管理!$A:$A,0)),""))</f>
        <v/>
      </c>
      <c r="E290" s="28" t="n"/>
      <c r="F290" s="23" t="n"/>
      <c r="G290" s="20" t="n"/>
      <c r="H290" s="20" t="n"/>
      <c r="I290" s="28" t="n"/>
      <c r="J290" s="28" t="n"/>
      <c r="K290" s="22" t="n"/>
      <c r="L290" s="20" t="n"/>
      <c r="M290" s="22" t="n"/>
      <c r="N290" s="20" t="n"/>
      <c r="O290" s="28" t="n"/>
    </row>
    <row r="291">
      <c r="A291" s="28" t="n"/>
      <c r="B291" s="17">
        <f>IF($A291="","",IFERROR(INDEX(案件管理!$B:$B,MATCH($A291,案件管理!$A:$A,0)),""))</f>
        <v/>
      </c>
      <c r="C291" s="17">
        <f>IF($A291="","",IFERROR(INDEX(案件管理!$AE:$AE,MATCH($A291,案件管理!$A:$A,0)),""))</f>
        <v/>
      </c>
      <c r="D291" s="17">
        <f>IF($A291="","",IFERROR(INDEX(案件管理!$AF:$AF,MATCH($A291,案件管理!$A:$A,0)),""))</f>
        <v/>
      </c>
      <c r="E291" s="28" t="n"/>
      <c r="F291" s="23" t="n"/>
      <c r="G291" s="20" t="n"/>
      <c r="H291" s="20" t="n"/>
      <c r="I291" s="28" t="n"/>
      <c r="J291" s="28" t="n"/>
      <c r="K291" s="22" t="n"/>
      <c r="L291" s="20" t="n"/>
      <c r="M291" s="22" t="n"/>
      <c r="N291" s="20" t="n"/>
      <c r="O291" s="28" t="n"/>
    </row>
    <row r="292">
      <c r="A292" s="28" t="n"/>
      <c r="B292" s="17">
        <f>IF($A292="","",IFERROR(INDEX(案件管理!$B:$B,MATCH($A292,案件管理!$A:$A,0)),""))</f>
        <v/>
      </c>
      <c r="C292" s="17">
        <f>IF($A292="","",IFERROR(INDEX(案件管理!$AE:$AE,MATCH($A292,案件管理!$A:$A,0)),""))</f>
        <v/>
      </c>
      <c r="D292" s="17">
        <f>IF($A292="","",IFERROR(INDEX(案件管理!$AF:$AF,MATCH($A292,案件管理!$A:$A,0)),""))</f>
        <v/>
      </c>
      <c r="E292" s="28" t="n"/>
      <c r="F292" s="23" t="n"/>
      <c r="G292" s="20" t="n"/>
      <c r="H292" s="20" t="n"/>
      <c r="I292" s="28" t="n"/>
      <c r="J292" s="28" t="n"/>
      <c r="K292" s="22" t="n"/>
      <c r="L292" s="20" t="n"/>
      <c r="M292" s="22" t="n"/>
      <c r="N292" s="20" t="n"/>
      <c r="O292" s="28" t="n"/>
    </row>
    <row r="293">
      <c r="A293" s="28" t="n"/>
      <c r="B293" s="17">
        <f>IF($A293="","",IFERROR(INDEX(案件管理!$B:$B,MATCH($A293,案件管理!$A:$A,0)),""))</f>
        <v/>
      </c>
      <c r="C293" s="17">
        <f>IF($A293="","",IFERROR(INDEX(案件管理!$AE:$AE,MATCH($A293,案件管理!$A:$A,0)),""))</f>
        <v/>
      </c>
      <c r="D293" s="17">
        <f>IF($A293="","",IFERROR(INDEX(案件管理!$AF:$AF,MATCH($A293,案件管理!$A:$A,0)),""))</f>
        <v/>
      </c>
      <c r="E293" s="28" t="n"/>
      <c r="F293" s="23" t="n"/>
      <c r="G293" s="20" t="n"/>
      <c r="H293" s="20" t="n"/>
      <c r="I293" s="28" t="n"/>
      <c r="J293" s="28" t="n"/>
      <c r="K293" s="22" t="n"/>
      <c r="L293" s="20" t="n"/>
      <c r="M293" s="22" t="n"/>
      <c r="N293" s="20" t="n"/>
      <c r="O293" s="28" t="n"/>
    </row>
    <row r="294">
      <c r="A294" s="28" t="n"/>
      <c r="B294" s="17">
        <f>IF($A294="","",IFERROR(INDEX(案件管理!$B:$B,MATCH($A294,案件管理!$A:$A,0)),""))</f>
        <v/>
      </c>
      <c r="C294" s="17">
        <f>IF($A294="","",IFERROR(INDEX(案件管理!$AE:$AE,MATCH($A294,案件管理!$A:$A,0)),""))</f>
        <v/>
      </c>
      <c r="D294" s="17">
        <f>IF($A294="","",IFERROR(INDEX(案件管理!$AF:$AF,MATCH($A294,案件管理!$A:$A,0)),""))</f>
        <v/>
      </c>
      <c r="E294" s="28" t="n"/>
      <c r="F294" s="23" t="n"/>
      <c r="G294" s="20" t="n"/>
      <c r="H294" s="20" t="n"/>
      <c r="I294" s="28" t="n"/>
      <c r="J294" s="28" t="n"/>
      <c r="K294" s="22" t="n"/>
      <c r="L294" s="20" t="n"/>
      <c r="M294" s="22" t="n"/>
      <c r="N294" s="20" t="n"/>
      <c r="O294" s="28" t="n"/>
    </row>
    <row r="295">
      <c r="A295" s="28" t="n"/>
      <c r="B295" s="17">
        <f>IF($A295="","",IFERROR(INDEX(案件管理!$B:$B,MATCH($A295,案件管理!$A:$A,0)),""))</f>
        <v/>
      </c>
      <c r="C295" s="17">
        <f>IF($A295="","",IFERROR(INDEX(案件管理!$AE:$AE,MATCH($A295,案件管理!$A:$A,0)),""))</f>
        <v/>
      </c>
      <c r="D295" s="17">
        <f>IF($A295="","",IFERROR(INDEX(案件管理!$AF:$AF,MATCH($A295,案件管理!$A:$A,0)),""))</f>
        <v/>
      </c>
      <c r="E295" s="28" t="n"/>
      <c r="F295" s="23" t="n"/>
      <c r="G295" s="20" t="n"/>
      <c r="H295" s="20" t="n"/>
      <c r="I295" s="28" t="n"/>
      <c r="J295" s="28" t="n"/>
      <c r="K295" s="22" t="n"/>
      <c r="L295" s="20" t="n"/>
      <c r="M295" s="22" t="n"/>
      <c r="N295" s="20" t="n"/>
      <c r="O295" s="28" t="n"/>
    </row>
    <row r="296">
      <c r="A296" s="28" t="n"/>
      <c r="B296" s="17">
        <f>IF($A296="","",IFERROR(INDEX(案件管理!$B:$B,MATCH($A296,案件管理!$A:$A,0)),""))</f>
        <v/>
      </c>
      <c r="C296" s="17">
        <f>IF($A296="","",IFERROR(INDEX(案件管理!$AE:$AE,MATCH($A296,案件管理!$A:$A,0)),""))</f>
        <v/>
      </c>
      <c r="D296" s="17">
        <f>IF($A296="","",IFERROR(INDEX(案件管理!$AF:$AF,MATCH($A296,案件管理!$A:$A,0)),""))</f>
        <v/>
      </c>
      <c r="E296" s="28" t="n"/>
      <c r="F296" s="23" t="n"/>
      <c r="G296" s="20" t="n"/>
      <c r="H296" s="20" t="n"/>
      <c r="I296" s="28" t="n"/>
      <c r="J296" s="28" t="n"/>
      <c r="K296" s="22" t="n"/>
      <c r="L296" s="20" t="n"/>
      <c r="M296" s="22" t="n"/>
      <c r="N296" s="20" t="n"/>
      <c r="O296" s="28" t="n"/>
    </row>
    <row r="297">
      <c r="A297" s="28" t="n"/>
      <c r="B297" s="17">
        <f>IF($A297="","",IFERROR(INDEX(案件管理!$B:$B,MATCH($A297,案件管理!$A:$A,0)),""))</f>
        <v/>
      </c>
      <c r="C297" s="17">
        <f>IF($A297="","",IFERROR(INDEX(案件管理!$AE:$AE,MATCH($A297,案件管理!$A:$A,0)),""))</f>
        <v/>
      </c>
      <c r="D297" s="17">
        <f>IF($A297="","",IFERROR(INDEX(案件管理!$AF:$AF,MATCH($A297,案件管理!$A:$A,0)),""))</f>
        <v/>
      </c>
      <c r="E297" s="28" t="n"/>
      <c r="F297" s="23" t="n"/>
      <c r="G297" s="20" t="n"/>
      <c r="H297" s="20" t="n"/>
      <c r="I297" s="28" t="n"/>
      <c r="J297" s="28" t="n"/>
      <c r="K297" s="22" t="n"/>
      <c r="L297" s="20" t="n"/>
      <c r="M297" s="22" t="n"/>
      <c r="N297" s="20" t="n"/>
      <c r="O297" s="28" t="n"/>
    </row>
    <row r="298">
      <c r="A298" s="28" t="n"/>
      <c r="B298" s="17">
        <f>IF($A298="","",IFERROR(INDEX(案件管理!$B:$B,MATCH($A298,案件管理!$A:$A,0)),""))</f>
        <v/>
      </c>
      <c r="C298" s="17">
        <f>IF($A298="","",IFERROR(INDEX(案件管理!$AE:$AE,MATCH($A298,案件管理!$A:$A,0)),""))</f>
        <v/>
      </c>
      <c r="D298" s="17">
        <f>IF($A298="","",IFERROR(INDEX(案件管理!$AF:$AF,MATCH($A298,案件管理!$A:$A,0)),""))</f>
        <v/>
      </c>
      <c r="E298" s="28" t="n"/>
      <c r="F298" s="23" t="n"/>
      <c r="G298" s="20" t="n"/>
      <c r="H298" s="20" t="n"/>
      <c r="I298" s="28" t="n"/>
      <c r="J298" s="28" t="n"/>
      <c r="K298" s="22" t="n"/>
      <c r="L298" s="20" t="n"/>
      <c r="M298" s="22" t="n"/>
      <c r="N298" s="20" t="n"/>
      <c r="O298" s="28" t="n"/>
    </row>
    <row r="299">
      <c r="A299" s="28" t="n"/>
      <c r="B299" s="17">
        <f>IF($A299="","",IFERROR(INDEX(案件管理!$B:$B,MATCH($A299,案件管理!$A:$A,0)),""))</f>
        <v/>
      </c>
      <c r="C299" s="17">
        <f>IF($A299="","",IFERROR(INDEX(案件管理!$AE:$AE,MATCH($A299,案件管理!$A:$A,0)),""))</f>
        <v/>
      </c>
      <c r="D299" s="17">
        <f>IF($A299="","",IFERROR(INDEX(案件管理!$AF:$AF,MATCH($A299,案件管理!$A:$A,0)),""))</f>
        <v/>
      </c>
      <c r="E299" s="28" t="n"/>
      <c r="F299" s="23" t="n"/>
      <c r="G299" s="20" t="n"/>
      <c r="H299" s="20" t="n"/>
      <c r="I299" s="28" t="n"/>
      <c r="J299" s="28" t="n"/>
      <c r="K299" s="22" t="n"/>
      <c r="L299" s="20" t="n"/>
      <c r="M299" s="22" t="n"/>
      <c r="N299" s="20" t="n"/>
      <c r="O299" s="28" t="n"/>
    </row>
    <row r="300">
      <c r="A300" s="28" t="n"/>
      <c r="B300" s="17">
        <f>IF($A300="","",IFERROR(INDEX(案件管理!$B:$B,MATCH($A300,案件管理!$A:$A,0)),""))</f>
        <v/>
      </c>
      <c r="C300" s="17">
        <f>IF($A300="","",IFERROR(INDEX(案件管理!$AE:$AE,MATCH($A300,案件管理!$A:$A,0)),""))</f>
        <v/>
      </c>
      <c r="D300" s="17">
        <f>IF($A300="","",IFERROR(INDEX(案件管理!$AF:$AF,MATCH($A300,案件管理!$A:$A,0)),""))</f>
        <v/>
      </c>
      <c r="E300" s="28" t="n"/>
      <c r="F300" s="23" t="n"/>
      <c r="G300" s="20" t="n"/>
      <c r="H300" s="20" t="n"/>
      <c r="I300" s="28" t="n"/>
      <c r="J300" s="28" t="n"/>
      <c r="K300" s="22" t="n"/>
      <c r="L300" s="20" t="n"/>
      <c r="M300" s="22" t="n"/>
      <c r="N300" s="20" t="n"/>
      <c r="O300" s="28" t="n"/>
    </row>
    <row r="301">
      <c r="A301" s="28" t="n"/>
      <c r="B301" s="17">
        <f>IF($A301="","",IFERROR(INDEX(案件管理!$B:$B,MATCH($A301,案件管理!$A:$A,0)),""))</f>
        <v/>
      </c>
      <c r="C301" s="17">
        <f>IF($A301="","",IFERROR(INDEX(案件管理!$AE:$AE,MATCH($A301,案件管理!$A:$A,0)),""))</f>
        <v/>
      </c>
      <c r="D301" s="17">
        <f>IF($A301="","",IFERROR(INDEX(案件管理!$AF:$AF,MATCH($A301,案件管理!$A:$A,0)),""))</f>
        <v/>
      </c>
      <c r="E301" s="28" t="n"/>
      <c r="F301" s="23" t="n"/>
      <c r="G301" s="20" t="n"/>
      <c r="H301" s="20" t="n"/>
      <c r="I301" s="28" t="n"/>
      <c r="J301" s="28" t="n"/>
      <c r="K301" s="22" t="n"/>
      <c r="L301" s="20" t="n"/>
      <c r="M301" s="22" t="n"/>
      <c r="N301" s="20" t="n"/>
      <c r="O301" s="28" t="n"/>
    </row>
    <row r="302">
      <c r="A302" s="28" t="n"/>
      <c r="B302" s="17">
        <f>IF($A302="","",IFERROR(INDEX(案件管理!$B:$B,MATCH($A302,案件管理!$A:$A,0)),""))</f>
        <v/>
      </c>
      <c r="C302" s="17">
        <f>IF($A302="","",IFERROR(INDEX(案件管理!$AE:$AE,MATCH($A302,案件管理!$A:$A,0)),""))</f>
        <v/>
      </c>
      <c r="D302" s="17">
        <f>IF($A302="","",IFERROR(INDEX(案件管理!$AF:$AF,MATCH($A302,案件管理!$A:$A,0)),""))</f>
        <v/>
      </c>
      <c r="E302" s="28" t="n"/>
      <c r="F302" s="23" t="n"/>
      <c r="G302" s="20" t="n"/>
      <c r="H302" s="20" t="n"/>
      <c r="I302" s="28" t="n"/>
      <c r="J302" s="28" t="n"/>
      <c r="K302" s="22" t="n"/>
      <c r="L302" s="20" t="n"/>
      <c r="M302" s="22" t="n"/>
      <c r="N302" s="20" t="n"/>
      <c r="O302" s="28" t="n"/>
    </row>
    <row r="303">
      <c r="A303" s="28" t="n"/>
      <c r="B303" s="17">
        <f>IF($A303="","",IFERROR(INDEX(案件管理!$B:$B,MATCH($A303,案件管理!$A:$A,0)),""))</f>
        <v/>
      </c>
      <c r="C303" s="17">
        <f>IF($A303="","",IFERROR(INDEX(案件管理!$AE:$AE,MATCH($A303,案件管理!$A:$A,0)),""))</f>
        <v/>
      </c>
      <c r="D303" s="17">
        <f>IF($A303="","",IFERROR(INDEX(案件管理!$AF:$AF,MATCH($A303,案件管理!$A:$A,0)),""))</f>
        <v/>
      </c>
      <c r="E303" s="28" t="n"/>
      <c r="F303" s="23" t="n"/>
      <c r="G303" s="20" t="n"/>
      <c r="H303" s="20" t="n"/>
      <c r="I303" s="28" t="n"/>
      <c r="J303" s="28" t="n"/>
      <c r="K303" s="22" t="n"/>
      <c r="L303" s="20" t="n"/>
      <c r="M303" s="22" t="n"/>
      <c r="N303" s="20" t="n"/>
      <c r="O303" s="28" t="n"/>
    </row>
  </sheetData>
  <autoFilter ref="A3:O303"/>
  <mergeCells count="1">
    <mergeCell ref="A2:O2"/>
  </mergeCells>
  <conditionalFormatting sqref="J4:J303">
    <cfRule type="expression" priority="1" dxfId="4">
      <formula>EXACT(J4,"必須")</formula>
    </cfRule>
    <cfRule type="expression" priority="2" dxfId="2">
      <formula>EXACT(J4,"重要")</formula>
    </cfRule>
    <cfRule type="expression" priority="3" dxfId="5">
      <formula>EXACT(J4,"確認")</formula>
    </cfRule>
  </conditionalFormatting>
  <conditionalFormatting sqref="O4:O303">
    <cfRule type="expression" priority="4" dxfId="0">
      <formula>EXACT(O4,"解決")</formula>
    </cfRule>
  </conditionalFormatting>
  <dataValidations count="3">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showDropDown="0" showInputMessage="0" showErrorMessage="0" allowBlank="1" type="list">
      <formula1>=選択肢!$I$3:$I$13</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showDropDown="0" showInputMessage="0" showErrorMessage="0" allowBlank="1" type="list">
      <formula1>"必須,重要,確認"</formula1>
    </dataValidation>
    <dataValidation sqref="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showDropDown="0" showInputMessage="0" showErrorMessage="0" allowBlank="1" type="list">
      <formula1>"未質問,回答待ち,回答済,追加確認が必要,解決"</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0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5" customWidth="1" min="3" max="3"/>
    <col width="22" customWidth="1" min="4" max="4"/>
    <col width="30" customWidth="1" min="5" max="5"/>
    <col width="18" customWidth="1" min="6" max="6"/>
    <col width="9" customWidth="1" min="7" max="7"/>
    <col width="10" customWidth="1" min="8" max="8"/>
    <col width="11" customWidth="1" min="9" max="9"/>
    <col width="9" customWidth="1" min="10" max="10"/>
    <col width="16" customWidth="1" min="11" max="11"/>
    <col width="8" customWidth="1" min="12" max="12"/>
    <col width="20" customWidth="1" min="13" max="13"/>
    <col width="20" customWidth="1" min="14" max="14"/>
    <col width="36" customWidth="1" min="15" max="15"/>
    <col width="12" customWidth="1" min="16" max="16"/>
    <col width="10" customWidth="1" min="17" max="17"/>
    <col width="15" customWidth="1" min="18" max="18"/>
    <col width="36" customWidth="1" min="19" max="19"/>
    <col width="30" customWidth="1" min="20" max="20"/>
  </cols>
  <sheetData>
    <row r="1">
      <c r="A1" s="1" t="inlineStr">
        <is>
          <t>友井 → 服部（上席に上げる案件）</t>
        </is>
      </c>
    </row>
    <row r="2" ht="30" customHeight="1">
      <c r="A2" s="26" t="inlineStr">
        <is>
          <t>案件管理タブの5〜104行と同じ行番号で対応しています。総合判定がAなら自動で「◎ 上申対象」、Bなら「△ 要相談」。Cの案件と未入力行は空欄になります。判定に関わらず上げたい案件は、A列に ✓ を入れてください。白地の列（上申日・服部判断・服部コメント・指示後の次アクション）だけが入力欄で、残りは案件管理からの自動反映です。</t>
        </is>
      </c>
    </row>
    <row r="3" ht="20" customHeight="1">
      <c r="A3" s="29">
        <f>"◎ 上申対象 "&amp;COUNTIF($B$5:$B$104,"◎ 上申対象")&amp;" 件　／　△ 要相談 "&amp;COUNTIF($B$5:$B$104,"△ 要相談")&amp;" 件"</f>
        <v/>
      </c>
    </row>
    <row r="4" ht="34" customHeight="1">
      <c r="A4" s="10" t="inlineStr">
        <is>
          <t>上申
手動✓</t>
        </is>
      </c>
      <c r="B4" s="11" t="inlineStr">
        <is>
          <t>上申区分</t>
        </is>
      </c>
      <c r="C4" s="11" t="inlineStr">
        <is>
          <t>No</t>
        </is>
      </c>
      <c r="D4" s="11" t="inlineStr">
        <is>
          <t>企業名</t>
        </is>
      </c>
      <c r="E4" s="11" t="inlineStr">
        <is>
          <t>事業内容</t>
        </is>
      </c>
      <c r="F4" s="11" t="inlineStr">
        <is>
          <t>業種区分</t>
        </is>
      </c>
      <c r="G4" s="11" t="inlineStr">
        <is>
          <t>譲渡価格</t>
        </is>
      </c>
      <c r="H4" s="11" t="inlineStr">
        <is>
          <t>実態EBITDA</t>
        </is>
      </c>
      <c r="I4" s="11" t="inlineStr">
        <is>
          <t>EV/EBITDA
マルチプル</t>
        </is>
      </c>
      <c r="J4" s="11" t="inlineStr">
        <is>
          <t>売上</t>
        </is>
      </c>
      <c r="K4" s="11" t="inlineStr">
        <is>
          <t>総合判定</t>
        </is>
      </c>
      <c r="L4" s="11" t="inlineStr">
        <is>
          <t>達成率</t>
        </is>
      </c>
      <c r="M4" s="11" t="inlineStr">
        <is>
          <t>×が付いた項目</t>
        </is>
      </c>
      <c r="N4" s="11" t="inlineStr">
        <is>
          <t>要確認（－）の項目</t>
        </is>
      </c>
      <c r="O4" s="11" t="inlineStr">
        <is>
          <t>友井コメント（初期検討メモ）</t>
        </is>
      </c>
      <c r="P4" s="11" t="inlineStr">
        <is>
          <t>ステータス</t>
        </is>
      </c>
      <c r="Q4" s="10" t="inlineStr">
        <is>
          <t>上申日</t>
        </is>
      </c>
      <c r="R4" s="10" t="inlineStr">
        <is>
          <t>服部判断</t>
        </is>
      </c>
      <c r="S4" s="10" t="inlineStr">
        <is>
          <t>服部コメント</t>
        </is>
      </c>
      <c r="T4" s="10" t="inlineStr">
        <is>
          <t>指示後の次アクション</t>
        </is>
      </c>
    </row>
    <row r="5">
      <c r="A5" s="30" t="n"/>
      <c r="B5" s="17">
        <f>IF(案件管理!$A5="","",IF(OR($A5="✓",LEFT(案件管理!$U5,2)="A："),"◎ 上申対象",IF(LEFT(案件管理!$U5,2)="B：","△ 要相談","—")))</f>
        <v/>
      </c>
      <c r="C5" s="17">
        <f>IF(OR($B5="",$B5="—"),"",案件管理!$A5)</f>
        <v/>
      </c>
      <c r="D5" s="17">
        <f>IF(OR($B5="",$B5="—"),"",案件管理!$B5)</f>
        <v/>
      </c>
      <c r="E5" s="31">
        <f>IF(OR($B5="",$B5="—"),"",案件管理!$C5)</f>
        <v/>
      </c>
      <c r="F5" s="17">
        <f>IF(OR($B5="",$B5="—"),"",案件管理!$D5)</f>
        <v/>
      </c>
      <c r="G5" s="32">
        <f>IF(OR($B5="",$B5="—"),"",案件管理!$E5)</f>
        <v/>
      </c>
      <c r="H5" s="32">
        <f>IF(OR($B5="",$B5="—"),"",案件管理!$F5)</f>
        <v/>
      </c>
      <c r="I5" s="15">
        <f>IF(OR($B5="",$B5="—"),"",案件管理!$G5)</f>
        <v/>
      </c>
      <c r="J5" s="32">
        <f>IF(OR($B5="",$B5="—"),"",案件管理!$H5)</f>
        <v/>
      </c>
      <c r="K5" s="17">
        <f>IF(OR($B5="",$B5="—"),"",案件管理!$U5)</f>
        <v/>
      </c>
      <c r="L5" s="18">
        <f>IF(OR($B5="",$B5="—"),"",案件管理!$V5)</f>
        <v/>
      </c>
      <c r="M5" s="31">
        <f>IF(OR($B5="",$B5="—"),"",IF(案件管理!$I5="×","1-1 ","")&amp;IF(案件管理!$J5="×","1-2 ","")&amp;IF(案件管理!$K5="×","1-3 ","")&amp;IF(案件管理!$L5="×","2 ","")&amp;IF(案件管理!$M5="×","3 ","")&amp;IF(案件管理!$N5="×","4 ","")&amp;IF(案件管理!$O5="×","5 ","")&amp;IF(案件管理!$P5="×","8-1 ","")&amp;IF(案件管理!$Q5="×","8-2 ","")&amp;IF(案件管理!$R5="×","9 ","")&amp;IF(案件管理!$S5="×","11 ","")&amp;IF(案件管理!$T5="×","12 ",""))</f>
        <v/>
      </c>
      <c r="N5" s="31">
        <f>IF(OR($B5="",$B5="—"),"",IF(案件管理!$I5="－","1-1 ","")&amp;IF(案件管理!$J5="－","1-2 ","")&amp;IF(案件管理!$K5="－","1-3 ","")&amp;IF(案件管理!$L5="－","2 ","")&amp;IF(案件管理!$M5="－","3 ","")&amp;IF(案件管理!$N5="－","4 ","")&amp;IF(案件管理!$O5="－","5 ","")&amp;IF(案件管理!$P5="－","8-1 ","")&amp;IF(案件管理!$Q5="－","8-2 ","")&amp;IF(案件管理!$R5="－","9 ","")&amp;IF(案件管理!$S5="－","11 ","")&amp;IF(案件管理!$T5="－","12 ",""))</f>
        <v/>
      </c>
      <c r="O5" s="31">
        <f>IF(OR($B5="",$B5="—"),"",案件管理!$AB5)</f>
        <v/>
      </c>
      <c r="P5" s="17">
        <f>IF(OR($B5="",$B5="—"),"",案件管理!$X5)</f>
        <v/>
      </c>
      <c r="Q5" s="22" t="n"/>
      <c r="R5" s="23" t="n"/>
      <c r="S5" s="20" t="n"/>
      <c r="T5" s="20" t="n"/>
    </row>
    <row r="6">
      <c r="A6" s="30" t="n"/>
      <c r="B6" s="17">
        <f>IF(案件管理!$A6="","",IF(OR($A6="✓",LEFT(案件管理!$U6,2)="A："),"◎ 上申対象",IF(LEFT(案件管理!$U6,2)="B：","△ 要相談","—")))</f>
        <v/>
      </c>
      <c r="C6" s="17">
        <f>IF(OR($B6="",$B6="—"),"",案件管理!$A6)</f>
        <v/>
      </c>
      <c r="D6" s="17">
        <f>IF(OR($B6="",$B6="—"),"",案件管理!$B6)</f>
        <v/>
      </c>
      <c r="E6" s="31">
        <f>IF(OR($B6="",$B6="—"),"",案件管理!$C6)</f>
        <v/>
      </c>
      <c r="F6" s="17">
        <f>IF(OR($B6="",$B6="—"),"",案件管理!$D6)</f>
        <v/>
      </c>
      <c r="G6" s="32">
        <f>IF(OR($B6="",$B6="—"),"",案件管理!$E6)</f>
        <v/>
      </c>
      <c r="H6" s="32">
        <f>IF(OR($B6="",$B6="—"),"",案件管理!$F6)</f>
        <v/>
      </c>
      <c r="I6" s="15">
        <f>IF(OR($B6="",$B6="—"),"",案件管理!$G6)</f>
        <v/>
      </c>
      <c r="J6" s="32">
        <f>IF(OR($B6="",$B6="—"),"",案件管理!$H6)</f>
        <v/>
      </c>
      <c r="K6" s="17">
        <f>IF(OR($B6="",$B6="—"),"",案件管理!$U6)</f>
        <v/>
      </c>
      <c r="L6" s="18">
        <f>IF(OR($B6="",$B6="—"),"",案件管理!$V6)</f>
        <v/>
      </c>
      <c r="M6" s="31">
        <f>IF(OR($B6="",$B6="—"),"",IF(案件管理!$I6="×","1-1 ","")&amp;IF(案件管理!$J6="×","1-2 ","")&amp;IF(案件管理!$K6="×","1-3 ","")&amp;IF(案件管理!$L6="×","2 ","")&amp;IF(案件管理!$M6="×","3 ","")&amp;IF(案件管理!$N6="×","4 ","")&amp;IF(案件管理!$O6="×","5 ","")&amp;IF(案件管理!$P6="×","8-1 ","")&amp;IF(案件管理!$Q6="×","8-2 ","")&amp;IF(案件管理!$R6="×","9 ","")&amp;IF(案件管理!$S6="×","11 ","")&amp;IF(案件管理!$T6="×","12 ",""))</f>
        <v/>
      </c>
      <c r="N6" s="31">
        <f>IF(OR($B6="",$B6="—"),"",IF(案件管理!$I6="－","1-1 ","")&amp;IF(案件管理!$J6="－","1-2 ","")&amp;IF(案件管理!$K6="－","1-3 ","")&amp;IF(案件管理!$L6="－","2 ","")&amp;IF(案件管理!$M6="－","3 ","")&amp;IF(案件管理!$N6="－","4 ","")&amp;IF(案件管理!$O6="－","5 ","")&amp;IF(案件管理!$P6="－","8-1 ","")&amp;IF(案件管理!$Q6="－","8-2 ","")&amp;IF(案件管理!$R6="－","9 ","")&amp;IF(案件管理!$S6="－","11 ","")&amp;IF(案件管理!$T6="－","12 ",""))</f>
        <v/>
      </c>
      <c r="O6" s="31">
        <f>IF(OR($B6="",$B6="—"),"",案件管理!$AB6)</f>
        <v/>
      </c>
      <c r="P6" s="17">
        <f>IF(OR($B6="",$B6="—"),"",案件管理!$X6)</f>
        <v/>
      </c>
      <c r="Q6" s="22" t="n"/>
      <c r="R6" s="23" t="n"/>
      <c r="S6" s="20" t="n"/>
      <c r="T6" s="20" t="n"/>
    </row>
    <row r="7">
      <c r="A7" s="30" t="n"/>
      <c r="B7" s="17">
        <f>IF(案件管理!$A7="","",IF(OR($A7="✓",LEFT(案件管理!$U7,2)="A："),"◎ 上申対象",IF(LEFT(案件管理!$U7,2)="B：","△ 要相談","—")))</f>
        <v/>
      </c>
      <c r="C7" s="17">
        <f>IF(OR($B7="",$B7="—"),"",案件管理!$A7)</f>
        <v/>
      </c>
      <c r="D7" s="17">
        <f>IF(OR($B7="",$B7="—"),"",案件管理!$B7)</f>
        <v/>
      </c>
      <c r="E7" s="31">
        <f>IF(OR($B7="",$B7="—"),"",案件管理!$C7)</f>
        <v/>
      </c>
      <c r="F7" s="17">
        <f>IF(OR($B7="",$B7="—"),"",案件管理!$D7)</f>
        <v/>
      </c>
      <c r="G7" s="32">
        <f>IF(OR($B7="",$B7="—"),"",案件管理!$E7)</f>
        <v/>
      </c>
      <c r="H7" s="32">
        <f>IF(OR($B7="",$B7="—"),"",案件管理!$F7)</f>
        <v/>
      </c>
      <c r="I7" s="15">
        <f>IF(OR($B7="",$B7="—"),"",案件管理!$G7)</f>
        <v/>
      </c>
      <c r="J7" s="32">
        <f>IF(OR($B7="",$B7="—"),"",案件管理!$H7)</f>
        <v/>
      </c>
      <c r="K7" s="17">
        <f>IF(OR($B7="",$B7="—"),"",案件管理!$U7)</f>
        <v/>
      </c>
      <c r="L7" s="18">
        <f>IF(OR($B7="",$B7="—"),"",案件管理!$V7)</f>
        <v/>
      </c>
      <c r="M7" s="31">
        <f>IF(OR($B7="",$B7="—"),"",IF(案件管理!$I7="×","1-1 ","")&amp;IF(案件管理!$J7="×","1-2 ","")&amp;IF(案件管理!$K7="×","1-3 ","")&amp;IF(案件管理!$L7="×","2 ","")&amp;IF(案件管理!$M7="×","3 ","")&amp;IF(案件管理!$N7="×","4 ","")&amp;IF(案件管理!$O7="×","5 ","")&amp;IF(案件管理!$P7="×","8-1 ","")&amp;IF(案件管理!$Q7="×","8-2 ","")&amp;IF(案件管理!$R7="×","9 ","")&amp;IF(案件管理!$S7="×","11 ","")&amp;IF(案件管理!$T7="×","12 ",""))</f>
        <v/>
      </c>
      <c r="N7" s="31">
        <f>IF(OR($B7="",$B7="—"),"",IF(案件管理!$I7="－","1-1 ","")&amp;IF(案件管理!$J7="－","1-2 ","")&amp;IF(案件管理!$K7="－","1-3 ","")&amp;IF(案件管理!$L7="－","2 ","")&amp;IF(案件管理!$M7="－","3 ","")&amp;IF(案件管理!$N7="－","4 ","")&amp;IF(案件管理!$O7="－","5 ","")&amp;IF(案件管理!$P7="－","8-1 ","")&amp;IF(案件管理!$Q7="－","8-2 ","")&amp;IF(案件管理!$R7="－","9 ","")&amp;IF(案件管理!$S7="－","11 ","")&amp;IF(案件管理!$T7="－","12 ",""))</f>
        <v/>
      </c>
      <c r="O7" s="31">
        <f>IF(OR($B7="",$B7="—"),"",案件管理!$AB7)</f>
        <v/>
      </c>
      <c r="P7" s="17">
        <f>IF(OR($B7="",$B7="—"),"",案件管理!$X7)</f>
        <v/>
      </c>
      <c r="Q7" s="22" t="n"/>
      <c r="R7" s="23" t="n"/>
      <c r="S7" s="20" t="n"/>
      <c r="T7" s="20" t="n"/>
    </row>
    <row r="8">
      <c r="A8" s="30" t="n"/>
      <c r="B8" s="17">
        <f>IF(案件管理!$A8="","",IF(OR($A8="✓",LEFT(案件管理!$U8,2)="A："),"◎ 上申対象",IF(LEFT(案件管理!$U8,2)="B：","△ 要相談","—")))</f>
        <v/>
      </c>
      <c r="C8" s="17">
        <f>IF(OR($B8="",$B8="—"),"",案件管理!$A8)</f>
        <v/>
      </c>
      <c r="D8" s="17">
        <f>IF(OR($B8="",$B8="—"),"",案件管理!$B8)</f>
        <v/>
      </c>
      <c r="E8" s="31">
        <f>IF(OR($B8="",$B8="—"),"",案件管理!$C8)</f>
        <v/>
      </c>
      <c r="F8" s="17">
        <f>IF(OR($B8="",$B8="—"),"",案件管理!$D8)</f>
        <v/>
      </c>
      <c r="G8" s="32">
        <f>IF(OR($B8="",$B8="—"),"",案件管理!$E8)</f>
        <v/>
      </c>
      <c r="H8" s="32">
        <f>IF(OR($B8="",$B8="—"),"",案件管理!$F8)</f>
        <v/>
      </c>
      <c r="I8" s="15">
        <f>IF(OR($B8="",$B8="—"),"",案件管理!$G8)</f>
        <v/>
      </c>
      <c r="J8" s="32">
        <f>IF(OR($B8="",$B8="—"),"",案件管理!$H8)</f>
        <v/>
      </c>
      <c r="K8" s="17">
        <f>IF(OR($B8="",$B8="—"),"",案件管理!$U8)</f>
        <v/>
      </c>
      <c r="L8" s="18">
        <f>IF(OR($B8="",$B8="—"),"",案件管理!$V8)</f>
        <v/>
      </c>
      <c r="M8" s="31">
        <f>IF(OR($B8="",$B8="—"),"",IF(案件管理!$I8="×","1-1 ","")&amp;IF(案件管理!$J8="×","1-2 ","")&amp;IF(案件管理!$K8="×","1-3 ","")&amp;IF(案件管理!$L8="×","2 ","")&amp;IF(案件管理!$M8="×","3 ","")&amp;IF(案件管理!$N8="×","4 ","")&amp;IF(案件管理!$O8="×","5 ","")&amp;IF(案件管理!$P8="×","8-1 ","")&amp;IF(案件管理!$Q8="×","8-2 ","")&amp;IF(案件管理!$R8="×","9 ","")&amp;IF(案件管理!$S8="×","11 ","")&amp;IF(案件管理!$T8="×","12 ",""))</f>
        <v/>
      </c>
      <c r="N8" s="31">
        <f>IF(OR($B8="",$B8="—"),"",IF(案件管理!$I8="－","1-1 ","")&amp;IF(案件管理!$J8="－","1-2 ","")&amp;IF(案件管理!$K8="－","1-3 ","")&amp;IF(案件管理!$L8="－","2 ","")&amp;IF(案件管理!$M8="－","3 ","")&amp;IF(案件管理!$N8="－","4 ","")&amp;IF(案件管理!$O8="－","5 ","")&amp;IF(案件管理!$P8="－","8-1 ","")&amp;IF(案件管理!$Q8="－","8-2 ","")&amp;IF(案件管理!$R8="－","9 ","")&amp;IF(案件管理!$S8="－","11 ","")&amp;IF(案件管理!$T8="－","12 ",""))</f>
        <v/>
      </c>
      <c r="O8" s="31">
        <f>IF(OR($B8="",$B8="—"),"",案件管理!$AB8)</f>
        <v/>
      </c>
      <c r="P8" s="17">
        <f>IF(OR($B8="",$B8="—"),"",案件管理!$X8)</f>
        <v/>
      </c>
      <c r="Q8" s="22" t="n"/>
      <c r="R8" s="23" t="n"/>
      <c r="S8" s="20" t="n"/>
      <c r="T8" s="20" t="n"/>
    </row>
    <row r="9">
      <c r="A9" s="30" t="n"/>
      <c r="B9" s="17">
        <f>IF(案件管理!$A9="","",IF(OR($A9="✓",LEFT(案件管理!$U9,2)="A："),"◎ 上申対象",IF(LEFT(案件管理!$U9,2)="B：","△ 要相談","—")))</f>
        <v/>
      </c>
      <c r="C9" s="17">
        <f>IF(OR($B9="",$B9="—"),"",案件管理!$A9)</f>
        <v/>
      </c>
      <c r="D9" s="17">
        <f>IF(OR($B9="",$B9="—"),"",案件管理!$B9)</f>
        <v/>
      </c>
      <c r="E9" s="31">
        <f>IF(OR($B9="",$B9="—"),"",案件管理!$C9)</f>
        <v/>
      </c>
      <c r="F9" s="17">
        <f>IF(OR($B9="",$B9="—"),"",案件管理!$D9)</f>
        <v/>
      </c>
      <c r="G9" s="32">
        <f>IF(OR($B9="",$B9="—"),"",案件管理!$E9)</f>
        <v/>
      </c>
      <c r="H9" s="32">
        <f>IF(OR($B9="",$B9="—"),"",案件管理!$F9)</f>
        <v/>
      </c>
      <c r="I9" s="15">
        <f>IF(OR($B9="",$B9="—"),"",案件管理!$G9)</f>
        <v/>
      </c>
      <c r="J9" s="32">
        <f>IF(OR($B9="",$B9="—"),"",案件管理!$H9)</f>
        <v/>
      </c>
      <c r="K9" s="17">
        <f>IF(OR($B9="",$B9="—"),"",案件管理!$U9)</f>
        <v/>
      </c>
      <c r="L9" s="18">
        <f>IF(OR($B9="",$B9="—"),"",案件管理!$V9)</f>
        <v/>
      </c>
      <c r="M9" s="31">
        <f>IF(OR($B9="",$B9="—"),"",IF(案件管理!$I9="×","1-1 ","")&amp;IF(案件管理!$J9="×","1-2 ","")&amp;IF(案件管理!$K9="×","1-3 ","")&amp;IF(案件管理!$L9="×","2 ","")&amp;IF(案件管理!$M9="×","3 ","")&amp;IF(案件管理!$N9="×","4 ","")&amp;IF(案件管理!$O9="×","5 ","")&amp;IF(案件管理!$P9="×","8-1 ","")&amp;IF(案件管理!$Q9="×","8-2 ","")&amp;IF(案件管理!$R9="×","9 ","")&amp;IF(案件管理!$S9="×","11 ","")&amp;IF(案件管理!$T9="×","12 ",""))</f>
        <v/>
      </c>
      <c r="N9" s="31">
        <f>IF(OR($B9="",$B9="—"),"",IF(案件管理!$I9="－","1-1 ","")&amp;IF(案件管理!$J9="－","1-2 ","")&amp;IF(案件管理!$K9="－","1-3 ","")&amp;IF(案件管理!$L9="－","2 ","")&amp;IF(案件管理!$M9="－","3 ","")&amp;IF(案件管理!$N9="－","4 ","")&amp;IF(案件管理!$O9="－","5 ","")&amp;IF(案件管理!$P9="－","8-1 ","")&amp;IF(案件管理!$Q9="－","8-2 ","")&amp;IF(案件管理!$R9="－","9 ","")&amp;IF(案件管理!$S9="－","11 ","")&amp;IF(案件管理!$T9="－","12 ",""))</f>
        <v/>
      </c>
      <c r="O9" s="31">
        <f>IF(OR($B9="",$B9="—"),"",案件管理!$AB9)</f>
        <v/>
      </c>
      <c r="P9" s="17">
        <f>IF(OR($B9="",$B9="—"),"",案件管理!$X9)</f>
        <v/>
      </c>
      <c r="Q9" s="22" t="n"/>
      <c r="R9" s="23" t="n"/>
      <c r="S9" s="20" t="n"/>
      <c r="T9" s="20" t="n"/>
    </row>
    <row r="10">
      <c r="A10" s="30" t="n"/>
      <c r="B10" s="17">
        <f>IF(案件管理!$A10="","",IF(OR($A10="✓",LEFT(案件管理!$U10,2)="A："),"◎ 上申対象",IF(LEFT(案件管理!$U10,2)="B：","△ 要相談","—")))</f>
        <v/>
      </c>
      <c r="C10" s="17">
        <f>IF(OR($B10="",$B10="—"),"",案件管理!$A10)</f>
        <v/>
      </c>
      <c r="D10" s="17">
        <f>IF(OR($B10="",$B10="—"),"",案件管理!$B10)</f>
        <v/>
      </c>
      <c r="E10" s="31">
        <f>IF(OR($B10="",$B10="—"),"",案件管理!$C10)</f>
        <v/>
      </c>
      <c r="F10" s="17">
        <f>IF(OR($B10="",$B10="—"),"",案件管理!$D10)</f>
        <v/>
      </c>
      <c r="G10" s="32">
        <f>IF(OR($B10="",$B10="—"),"",案件管理!$E10)</f>
        <v/>
      </c>
      <c r="H10" s="32">
        <f>IF(OR($B10="",$B10="—"),"",案件管理!$F10)</f>
        <v/>
      </c>
      <c r="I10" s="15">
        <f>IF(OR($B10="",$B10="—"),"",案件管理!$G10)</f>
        <v/>
      </c>
      <c r="J10" s="32">
        <f>IF(OR($B10="",$B10="—"),"",案件管理!$H10)</f>
        <v/>
      </c>
      <c r="K10" s="17">
        <f>IF(OR($B10="",$B10="—"),"",案件管理!$U10)</f>
        <v/>
      </c>
      <c r="L10" s="18">
        <f>IF(OR($B10="",$B10="—"),"",案件管理!$V10)</f>
        <v/>
      </c>
      <c r="M10" s="31">
        <f>IF(OR($B10="",$B10="—"),"",IF(案件管理!$I10="×","1-1 ","")&amp;IF(案件管理!$J10="×","1-2 ","")&amp;IF(案件管理!$K10="×","1-3 ","")&amp;IF(案件管理!$L10="×","2 ","")&amp;IF(案件管理!$M10="×","3 ","")&amp;IF(案件管理!$N10="×","4 ","")&amp;IF(案件管理!$O10="×","5 ","")&amp;IF(案件管理!$P10="×","8-1 ","")&amp;IF(案件管理!$Q10="×","8-2 ","")&amp;IF(案件管理!$R10="×","9 ","")&amp;IF(案件管理!$S10="×","11 ","")&amp;IF(案件管理!$T10="×","12 ",""))</f>
        <v/>
      </c>
      <c r="N10" s="31">
        <f>IF(OR($B10="",$B10="—"),"",IF(案件管理!$I10="－","1-1 ","")&amp;IF(案件管理!$J10="－","1-2 ","")&amp;IF(案件管理!$K10="－","1-3 ","")&amp;IF(案件管理!$L10="－","2 ","")&amp;IF(案件管理!$M10="－","3 ","")&amp;IF(案件管理!$N10="－","4 ","")&amp;IF(案件管理!$O10="－","5 ","")&amp;IF(案件管理!$P10="－","8-1 ","")&amp;IF(案件管理!$Q10="－","8-2 ","")&amp;IF(案件管理!$R10="－","9 ","")&amp;IF(案件管理!$S10="－","11 ","")&amp;IF(案件管理!$T10="－","12 ",""))</f>
        <v/>
      </c>
      <c r="O10" s="31">
        <f>IF(OR($B10="",$B10="—"),"",案件管理!$AB10)</f>
        <v/>
      </c>
      <c r="P10" s="17">
        <f>IF(OR($B10="",$B10="—"),"",案件管理!$X10)</f>
        <v/>
      </c>
      <c r="Q10" s="22" t="n"/>
      <c r="R10" s="23" t="n"/>
      <c r="S10" s="20" t="n"/>
      <c r="T10" s="20" t="n"/>
    </row>
    <row r="11">
      <c r="A11" s="30" t="n"/>
      <c r="B11" s="17">
        <f>IF(案件管理!$A11="","",IF(OR($A11="✓",LEFT(案件管理!$U11,2)="A："),"◎ 上申対象",IF(LEFT(案件管理!$U11,2)="B：","△ 要相談","—")))</f>
        <v/>
      </c>
      <c r="C11" s="17">
        <f>IF(OR($B11="",$B11="—"),"",案件管理!$A11)</f>
        <v/>
      </c>
      <c r="D11" s="17">
        <f>IF(OR($B11="",$B11="—"),"",案件管理!$B11)</f>
        <v/>
      </c>
      <c r="E11" s="31">
        <f>IF(OR($B11="",$B11="—"),"",案件管理!$C11)</f>
        <v/>
      </c>
      <c r="F11" s="17">
        <f>IF(OR($B11="",$B11="—"),"",案件管理!$D11)</f>
        <v/>
      </c>
      <c r="G11" s="32">
        <f>IF(OR($B11="",$B11="—"),"",案件管理!$E11)</f>
        <v/>
      </c>
      <c r="H11" s="32">
        <f>IF(OR($B11="",$B11="—"),"",案件管理!$F11)</f>
        <v/>
      </c>
      <c r="I11" s="15">
        <f>IF(OR($B11="",$B11="—"),"",案件管理!$G11)</f>
        <v/>
      </c>
      <c r="J11" s="32">
        <f>IF(OR($B11="",$B11="—"),"",案件管理!$H11)</f>
        <v/>
      </c>
      <c r="K11" s="17">
        <f>IF(OR($B11="",$B11="—"),"",案件管理!$U11)</f>
        <v/>
      </c>
      <c r="L11" s="18">
        <f>IF(OR($B11="",$B11="—"),"",案件管理!$V11)</f>
        <v/>
      </c>
      <c r="M11" s="31">
        <f>IF(OR($B11="",$B11="—"),"",IF(案件管理!$I11="×","1-1 ","")&amp;IF(案件管理!$J11="×","1-2 ","")&amp;IF(案件管理!$K11="×","1-3 ","")&amp;IF(案件管理!$L11="×","2 ","")&amp;IF(案件管理!$M11="×","3 ","")&amp;IF(案件管理!$N11="×","4 ","")&amp;IF(案件管理!$O11="×","5 ","")&amp;IF(案件管理!$P11="×","8-1 ","")&amp;IF(案件管理!$Q11="×","8-2 ","")&amp;IF(案件管理!$R11="×","9 ","")&amp;IF(案件管理!$S11="×","11 ","")&amp;IF(案件管理!$T11="×","12 ",""))</f>
        <v/>
      </c>
      <c r="N11" s="31">
        <f>IF(OR($B11="",$B11="—"),"",IF(案件管理!$I11="－","1-1 ","")&amp;IF(案件管理!$J11="－","1-2 ","")&amp;IF(案件管理!$K11="－","1-3 ","")&amp;IF(案件管理!$L11="－","2 ","")&amp;IF(案件管理!$M11="－","3 ","")&amp;IF(案件管理!$N11="－","4 ","")&amp;IF(案件管理!$O11="－","5 ","")&amp;IF(案件管理!$P11="－","8-1 ","")&amp;IF(案件管理!$Q11="－","8-2 ","")&amp;IF(案件管理!$R11="－","9 ","")&amp;IF(案件管理!$S11="－","11 ","")&amp;IF(案件管理!$T11="－","12 ",""))</f>
        <v/>
      </c>
      <c r="O11" s="31">
        <f>IF(OR($B11="",$B11="—"),"",案件管理!$AB11)</f>
        <v/>
      </c>
      <c r="P11" s="17">
        <f>IF(OR($B11="",$B11="—"),"",案件管理!$X11)</f>
        <v/>
      </c>
      <c r="Q11" s="22" t="n"/>
      <c r="R11" s="23" t="n"/>
      <c r="S11" s="20" t="n"/>
      <c r="T11" s="20" t="n"/>
    </row>
    <row r="12">
      <c r="A12" s="30" t="n"/>
      <c r="B12" s="17">
        <f>IF(案件管理!$A12="","",IF(OR($A12="✓",LEFT(案件管理!$U12,2)="A："),"◎ 上申対象",IF(LEFT(案件管理!$U12,2)="B：","△ 要相談","—")))</f>
        <v/>
      </c>
      <c r="C12" s="17">
        <f>IF(OR($B12="",$B12="—"),"",案件管理!$A12)</f>
        <v/>
      </c>
      <c r="D12" s="17">
        <f>IF(OR($B12="",$B12="—"),"",案件管理!$B12)</f>
        <v/>
      </c>
      <c r="E12" s="31">
        <f>IF(OR($B12="",$B12="—"),"",案件管理!$C12)</f>
        <v/>
      </c>
      <c r="F12" s="17">
        <f>IF(OR($B12="",$B12="—"),"",案件管理!$D12)</f>
        <v/>
      </c>
      <c r="G12" s="32">
        <f>IF(OR($B12="",$B12="—"),"",案件管理!$E12)</f>
        <v/>
      </c>
      <c r="H12" s="32">
        <f>IF(OR($B12="",$B12="—"),"",案件管理!$F12)</f>
        <v/>
      </c>
      <c r="I12" s="15">
        <f>IF(OR($B12="",$B12="—"),"",案件管理!$G12)</f>
        <v/>
      </c>
      <c r="J12" s="32">
        <f>IF(OR($B12="",$B12="—"),"",案件管理!$H12)</f>
        <v/>
      </c>
      <c r="K12" s="17">
        <f>IF(OR($B12="",$B12="—"),"",案件管理!$U12)</f>
        <v/>
      </c>
      <c r="L12" s="18">
        <f>IF(OR($B12="",$B12="—"),"",案件管理!$V12)</f>
        <v/>
      </c>
      <c r="M12" s="31">
        <f>IF(OR($B12="",$B12="—"),"",IF(案件管理!$I12="×","1-1 ","")&amp;IF(案件管理!$J12="×","1-2 ","")&amp;IF(案件管理!$K12="×","1-3 ","")&amp;IF(案件管理!$L12="×","2 ","")&amp;IF(案件管理!$M12="×","3 ","")&amp;IF(案件管理!$N12="×","4 ","")&amp;IF(案件管理!$O12="×","5 ","")&amp;IF(案件管理!$P12="×","8-1 ","")&amp;IF(案件管理!$Q12="×","8-2 ","")&amp;IF(案件管理!$R12="×","9 ","")&amp;IF(案件管理!$S12="×","11 ","")&amp;IF(案件管理!$T12="×","12 ",""))</f>
        <v/>
      </c>
      <c r="N12" s="31">
        <f>IF(OR($B12="",$B12="—"),"",IF(案件管理!$I12="－","1-1 ","")&amp;IF(案件管理!$J12="－","1-2 ","")&amp;IF(案件管理!$K12="－","1-3 ","")&amp;IF(案件管理!$L12="－","2 ","")&amp;IF(案件管理!$M12="－","3 ","")&amp;IF(案件管理!$N12="－","4 ","")&amp;IF(案件管理!$O12="－","5 ","")&amp;IF(案件管理!$P12="－","8-1 ","")&amp;IF(案件管理!$Q12="－","8-2 ","")&amp;IF(案件管理!$R12="－","9 ","")&amp;IF(案件管理!$S12="－","11 ","")&amp;IF(案件管理!$T12="－","12 ",""))</f>
        <v/>
      </c>
      <c r="O12" s="31">
        <f>IF(OR($B12="",$B12="—"),"",案件管理!$AB12)</f>
        <v/>
      </c>
      <c r="P12" s="17">
        <f>IF(OR($B12="",$B12="—"),"",案件管理!$X12)</f>
        <v/>
      </c>
      <c r="Q12" s="22" t="n"/>
      <c r="R12" s="23" t="n"/>
      <c r="S12" s="20" t="n"/>
      <c r="T12" s="20" t="n"/>
    </row>
    <row r="13">
      <c r="A13" s="30" t="n"/>
      <c r="B13" s="17">
        <f>IF(案件管理!$A13="","",IF(OR($A13="✓",LEFT(案件管理!$U13,2)="A："),"◎ 上申対象",IF(LEFT(案件管理!$U13,2)="B：","△ 要相談","—")))</f>
        <v/>
      </c>
      <c r="C13" s="17">
        <f>IF(OR($B13="",$B13="—"),"",案件管理!$A13)</f>
        <v/>
      </c>
      <c r="D13" s="17">
        <f>IF(OR($B13="",$B13="—"),"",案件管理!$B13)</f>
        <v/>
      </c>
      <c r="E13" s="31">
        <f>IF(OR($B13="",$B13="—"),"",案件管理!$C13)</f>
        <v/>
      </c>
      <c r="F13" s="17">
        <f>IF(OR($B13="",$B13="—"),"",案件管理!$D13)</f>
        <v/>
      </c>
      <c r="G13" s="32">
        <f>IF(OR($B13="",$B13="—"),"",案件管理!$E13)</f>
        <v/>
      </c>
      <c r="H13" s="32">
        <f>IF(OR($B13="",$B13="—"),"",案件管理!$F13)</f>
        <v/>
      </c>
      <c r="I13" s="15">
        <f>IF(OR($B13="",$B13="—"),"",案件管理!$G13)</f>
        <v/>
      </c>
      <c r="J13" s="32">
        <f>IF(OR($B13="",$B13="—"),"",案件管理!$H13)</f>
        <v/>
      </c>
      <c r="K13" s="17">
        <f>IF(OR($B13="",$B13="—"),"",案件管理!$U13)</f>
        <v/>
      </c>
      <c r="L13" s="18">
        <f>IF(OR($B13="",$B13="—"),"",案件管理!$V13)</f>
        <v/>
      </c>
      <c r="M13" s="31">
        <f>IF(OR($B13="",$B13="—"),"",IF(案件管理!$I13="×","1-1 ","")&amp;IF(案件管理!$J13="×","1-2 ","")&amp;IF(案件管理!$K13="×","1-3 ","")&amp;IF(案件管理!$L13="×","2 ","")&amp;IF(案件管理!$M13="×","3 ","")&amp;IF(案件管理!$N13="×","4 ","")&amp;IF(案件管理!$O13="×","5 ","")&amp;IF(案件管理!$P13="×","8-1 ","")&amp;IF(案件管理!$Q13="×","8-2 ","")&amp;IF(案件管理!$R13="×","9 ","")&amp;IF(案件管理!$S13="×","11 ","")&amp;IF(案件管理!$T13="×","12 ",""))</f>
        <v/>
      </c>
      <c r="N13" s="31">
        <f>IF(OR($B13="",$B13="—"),"",IF(案件管理!$I13="－","1-1 ","")&amp;IF(案件管理!$J13="－","1-2 ","")&amp;IF(案件管理!$K13="－","1-3 ","")&amp;IF(案件管理!$L13="－","2 ","")&amp;IF(案件管理!$M13="－","3 ","")&amp;IF(案件管理!$N13="－","4 ","")&amp;IF(案件管理!$O13="－","5 ","")&amp;IF(案件管理!$P13="－","8-1 ","")&amp;IF(案件管理!$Q13="－","8-2 ","")&amp;IF(案件管理!$R13="－","9 ","")&amp;IF(案件管理!$S13="－","11 ","")&amp;IF(案件管理!$T13="－","12 ",""))</f>
        <v/>
      </c>
      <c r="O13" s="31">
        <f>IF(OR($B13="",$B13="—"),"",案件管理!$AB13)</f>
        <v/>
      </c>
      <c r="P13" s="17">
        <f>IF(OR($B13="",$B13="—"),"",案件管理!$X13)</f>
        <v/>
      </c>
      <c r="Q13" s="22" t="n"/>
      <c r="R13" s="23" t="n"/>
      <c r="S13" s="20" t="n"/>
      <c r="T13" s="20" t="n"/>
    </row>
    <row r="14">
      <c r="A14" s="30" t="n"/>
      <c r="B14" s="17">
        <f>IF(案件管理!$A14="","",IF(OR($A14="✓",LEFT(案件管理!$U14,2)="A："),"◎ 上申対象",IF(LEFT(案件管理!$U14,2)="B：","△ 要相談","—")))</f>
        <v/>
      </c>
      <c r="C14" s="17">
        <f>IF(OR($B14="",$B14="—"),"",案件管理!$A14)</f>
        <v/>
      </c>
      <c r="D14" s="17">
        <f>IF(OR($B14="",$B14="—"),"",案件管理!$B14)</f>
        <v/>
      </c>
      <c r="E14" s="31">
        <f>IF(OR($B14="",$B14="—"),"",案件管理!$C14)</f>
        <v/>
      </c>
      <c r="F14" s="17">
        <f>IF(OR($B14="",$B14="—"),"",案件管理!$D14)</f>
        <v/>
      </c>
      <c r="G14" s="32">
        <f>IF(OR($B14="",$B14="—"),"",案件管理!$E14)</f>
        <v/>
      </c>
      <c r="H14" s="32">
        <f>IF(OR($B14="",$B14="—"),"",案件管理!$F14)</f>
        <v/>
      </c>
      <c r="I14" s="15">
        <f>IF(OR($B14="",$B14="—"),"",案件管理!$G14)</f>
        <v/>
      </c>
      <c r="J14" s="32">
        <f>IF(OR($B14="",$B14="—"),"",案件管理!$H14)</f>
        <v/>
      </c>
      <c r="K14" s="17">
        <f>IF(OR($B14="",$B14="—"),"",案件管理!$U14)</f>
        <v/>
      </c>
      <c r="L14" s="18">
        <f>IF(OR($B14="",$B14="—"),"",案件管理!$V14)</f>
        <v/>
      </c>
      <c r="M14" s="31">
        <f>IF(OR($B14="",$B14="—"),"",IF(案件管理!$I14="×","1-1 ","")&amp;IF(案件管理!$J14="×","1-2 ","")&amp;IF(案件管理!$K14="×","1-3 ","")&amp;IF(案件管理!$L14="×","2 ","")&amp;IF(案件管理!$M14="×","3 ","")&amp;IF(案件管理!$N14="×","4 ","")&amp;IF(案件管理!$O14="×","5 ","")&amp;IF(案件管理!$P14="×","8-1 ","")&amp;IF(案件管理!$Q14="×","8-2 ","")&amp;IF(案件管理!$R14="×","9 ","")&amp;IF(案件管理!$S14="×","11 ","")&amp;IF(案件管理!$T14="×","12 ",""))</f>
        <v/>
      </c>
      <c r="N14" s="31">
        <f>IF(OR($B14="",$B14="—"),"",IF(案件管理!$I14="－","1-1 ","")&amp;IF(案件管理!$J14="－","1-2 ","")&amp;IF(案件管理!$K14="－","1-3 ","")&amp;IF(案件管理!$L14="－","2 ","")&amp;IF(案件管理!$M14="－","3 ","")&amp;IF(案件管理!$N14="－","4 ","")&amp;IF(案件管理!$O14="－","5 ","")&amp;IF(案件管理!$P14="－","8-1 ","")&amp;IF(案件管理!$Q14="－","8-2 ","")&amp;IF(案件管理!$R14="－","9 ","")&amp;IF(案件管理!$S14="－","11 ","")&amp;IF(案件管理!$T14="－","12 ",""))</f>
        <v/>
      </c>
      <c r="O14" s="31">
        <f>IF(OR($B14="",$B14="—"),"",案件管理!$AB14)</f>
        <v/>
      </c>
      <c r="P14" s="17">
        <f>IF(OR($B14="",$B14="—"),"",案件管理!$X14)</f>
        <v/>
      </c>
      <c r="Q14" s="22" t="n"/>
      <c r="R14" s="23" t="n"/>
      <c r="S14" s="20" t="n"/>
      <c r="T14" s="20" t="n"/>
    </row>
    <row r="15">
      <c r="A15" s="30" t="n"/>
      <c r="B15" s="17">
        <f>IF(案件管理!$A15="","",IF(OR($A15="✓",LEFT(案件管理!$U15,2)="A："),"◎ 上申対象",IF(LEFT(案件管理!$U15,2)="B：","△ 要相談","—")))</f>
        <v/>
      </c>
      <c r="C15" s="17">
        <f>IF(OR($B15="",$B15="—"),"",案件管理!$A15)</f>
        <v/>
      </c>
      <c r="D15" s="17">
        <f>IF(OR($B15="",$B15="—"),"",案件管理!$B15)</f>
        <v/>
      </c>
      <c r="E15" s="31">
        <f>IF(OR($B15="",$B15="—"),"",案件管理!$C15)</f>
        <v/>
      </c>
      <c r="F15" s="17">
        <f>IF(OR($B15="",$B15="—"),"",案件管理!$D15)</f>
        <v/>
      </c>
      <c r="G15" s="32">
        <f>IF(OR($B15="",$B15="—"),"",案件管理!$E15)</f>
        <v/>
      </c>
      <c r="H15" s="32">
        <f>IF(OR($B15="",$B15="—"),"",案件管理!$F15)</f>
        <v/>
      </c>
      <c r="I15" s="15">
        <f>IF(OR($B15="",$B15="—"),"",案件管理!$G15)</f>
        <v/>
      </c>
      <c r="J15" s="32">
        <f>IF(OR($B15="",$B15="—"),"",案件管理!$H15)</f>
        <v/>
      </c>
      <c r="K15" s="17">
        <f>IF(OR($B15="",$B15="—"),"",案件管理!$U15)</f>
        <v/>
      </c>
      <c r="L15" s="18">
        <f>IF(OR($B15="",$B15="—"),"",案件管理!$V15)</f>
        <v/>
      </c>
      <c r="M15" s="31">
        <f>IF(OR($B15="",$B15="—"),"",IF(案件管理!$I15="×","1-1 ","")&amp;IF(案件管理!$J15="×","1-2 ","")&amp;IF(案件管理!$K15="×","1-3 ","")&amp;IF(案件管理!$L15="×","2 ","")&amp;IF(案件管理!$M15="×","3 ","")&amp;IF(案件管理!$N15="×","4 ","")&amp;IF(案件管理!$O15="×","5 ","")&amp;IF(案件管理!$P15="×","8-1 ","")&amp;IF(案件管理!$Q15="×","8-2 ","")&amp;IF(案件管理!$R15="×","9 ","")&amp;IF(案件管理!$S15="×","11 ","")&amp;IF(案件管理!$T15="×","12 ",""))</f>
        <v/>
      </c>
      <c r="N15" s="31">
        <f>IF(OR($B15="",$B15="—"),"",IF(案件管理!$I15="－","1-1 ","")&amp;IF(案件管理!$J15="－","1-2 ","")&amp;IF(案件管理!$K15="－","1-3 ","")&amp;IF(案件管理!$L15="－","2 ","")&amp;IF(案件管理!$M15="－","3 ","")&amp;IF(案件管理!$N15="－","4 ","")&amp;IF(案件管理!$O15="－","5 ","")&amp;IF(案件管理!$P15="－","8-1 ","")&amp;IF(案件管理!$Q15="－","8-2 ","")&amp;IF(案件管理!$R15="－","9 ","")&amp;IF(案件管理!$S15="－","11 ","")&amp;IF(案件管理!$T15="－","12 ",""))</f>
        <v/>
      </c>
      <c r="O15" s="31">
        <f>IF(OR($B15="",$B15="—"),"",案件管理!$AB15)</f>
        <v/>
      </c>
      <c r="P15" s="17">
        <f>IF(OR($B15="",$B15="—"),"",案件管理!$X15)</f>
        <v/>
      </c>
      <c r="Q15" s="22" t="n"/>
      <c r="R15" s="23" t="n"/>
      <c r="S15" s="20" t="n"/>
      <c r="T15" s="20" t="n"/>
    </row>
    <row r="16">
      <c r="A16" s="30" t="n"/>
      <c r="B16" s="17">
        <f>IF(案件管理!$A16="","",IF(OR($A16="✓",LEFT(案件管理!$U16,2)="A："),"◎ 上申対象",IF(LEFT(案件管理!$U16,2)="B：","△ 要相談","—")))</f>
        <v/>
      </c>
      <c r="C16" s="17">
        <f>IF(OR($B16="",$B16="—"),"",案件管理!$A16)</f>
        <v/>
      </c>
      <c r="D16" s="17">
        <f>IF(OR($B16="",$B16="—"),"",案件管理!$B16)</f>
        <v/>
      </c>
      <c r="E16" s="31">
        <f>IF(OR($B16="",$B16="—"),"",案件管理!$C16)</f>
        <v/>
      </c>
      <c r="F16" s="17">
        <f>IF(OR($B16="",$B16="—"),"",案件管理!$D16)</f>
        <v/>
      </c>
      <c r="G16" s="32">
        <f>IF(OR($B16="",$B16="—"),"",案件管理!$E16)</f>
        <v/>
      </c>
      <c r="H16" s="32">
        <f>IF(OR($B16="",$B16="—"),"",案件管理!$F16)</f>
        <v/>
      </c>
      <c r="I16" s="15">
        <f>IF(OR($B16="",$B16="—"),"",案件管理!$G16)</f>
        <v/>
      </c>
      <c r="J16" s="32">
        <f>IF(OR($B16="",$B16="—"),"",案件管理!$H16)</f>
        <v/>
      </c>
      <c r="K16" s="17">
        <f>IF(OR($B16="",$B16="—"),"",案件管理!$U16)</f>
        <v/>
      </c>
      <c r="L16" s="18">
        <f>IF(OR($B16="",$B16="—"),"",案件管理!$V16)</f>
        <v/>
      </c>
      <c r="M16" s="31">
        <f>IF(OR($B16="",$B16="—"),"",IF(案件管理!$I16="×","1-1 ","")&amp;IF(案件管理!$J16="×","1-2 ","")&amp;IF(案件管理!$K16="×","1-3 ","")&amp;IF(案件管理!$L16="×","2 ","")&amp;IF(案件管理!$M16="×","3 ","")&amp;IF(案件管理!$N16="×","4 ","")&amp;IF(案件管理!$O16="×","5 ","")&amp;IF(案件管理!$P16="×","8-1 ","")&amp;IF(案件管理!$Q16="×","8-2 ","")&amp;IF(案件管理!$R16="×","9 ","")&amp;IF(案件管理!$S16="×","11 ","")&amp;IF(案件管理!$T16="×","12 ",""))</f>
        <v/>
      </c>
      <c r="N16" s="31">
        <f>IF(OR($B16="",$B16="—"),"",IF(案件管理!$I16="－","1-1 ","")&amp;IF(案件管理!$J16="－","1-2 ","")&amp;IF(案件管理!$K16="－","1-3 ","")&amp;IF(案件管理!$L16="－","2 ","")&amp;IF(案件管理!$M16="－","3 ","")&amp;IF(案件管理!$N16="－","4 ","")&amp;IF(案件管理!$O16="－","5 ","")&amp;IF(案件管理!$P16="－","8-1 ","")&amp;IF(案件管理!$Q16="－","8-2 ","")&amp;IF(案件管理!$R16="－","9 ","")&amp;IF(案件管理!$S16="－","11 ","")&amp;IF(案件管理!$T16="－","12 ",""))</f>
        <v/>
      </c>
      <c r="O16" s="31">
        <f>IF(OR($B16="",$B16="—"),"",案件管理!$AB16)</f>
        <v/>
      </c>
      <c r="P16" s="17">
        <f>IF(OR($B16="",$B16="—"),"",案件管理!$X16)</f>
        <v/>
      </c>
      <c r="Q16" s="22" t="n"/>
      <c r="R16" s="23" t="n"/>
      <c r="S16" s="20" t="n"/>
      <c r="T16" s="20" t="n"/>
    </row>
    <row r="17">
      <c r="A17" s="30" t="n"/>
      <c r="B17" s="17">
        <f>IF(案件管理!$A17="","",IF(OR($A17="✓",LEFT(案件管理!$U17,2)="A："),"◎ 上申対象",IF(LEFT(案件管理!$U17,2)="B：","△ 要相談","—")))</f>
        <v/>
      </c>
      <c r="C17" s="17">
        <f>IF(OR($B17="",$B17="—"),"",案件管理!$A17)</f>
        <v/>
      </c>
      <c r="D17" s="17">
        <f>IF(OR($B17="",$B17="—"),"",案件管理!$B17)</f>
        <v/>
      </c>
      <c r="E17" s="31">
        <f>IF(OR($B17="",$B17="—"),"",案件管理!$C17)</f>
        <v/>
      </c>
      <c r="F17" s="17">
        <f>IF(OR($B17="",$B17="—"),"",案件管理!$D17)</f>
        <v/>
      </c>
      <c r="G17" s="32">
        <f>IF(OR($B17="",$B17="—"),"",案件管理!$E17)</f>
        <v/>
      </c>
      <c r="H17" s="32">
        <f>IF(OR($B17="",$B17="—"),"",案件管理!$F17)</f>
        <v/>
      </c>
      <c r="I17" s="15">
        <f>IF(OR($B17="",$B17="—"),"",案件管理!$G17)</f>
        <v/>
      </c>
      <c r="J17" s="32">
        <f>IF(OR($B17="",$B17="—"),"",案件管理!$H17)</f>
        <v/>
      </c>
      <c r="K17" s="17">
        <f>IF(OR($B17="",$B17="—"),"",案件管理!$U17)</f>
        <v/>
      </c>
      <c r="L17" s="18">
        <f>IF(OR($B17="",$B17="—"),"",案件管理!$V17)</f>
        <v/>
      </c>
      <c r="M17" s="31">
        <f>IF(OR($B17="",$B17="—"),"",IF(案件管理!$I17="×","1-1 ","")&amp;IF(案件管理!$J17="×","1-2 ","")&amp;IF(案件管理!$K17="×","1-3 ","")&amp;IF(案件管理!$L17="×","2 ","")&amp;IF(案件管理!$M17="×","3 ","")&amp;IF(案件管理!$N17="×","4 ","")&amp;IF(案件管理!$O17="×","5 ","")&amp;IF(案件管理!$P17="×","8-1 ","")&amp;IF(案件管理!$Q17="×","8-2 ","")&amp;IF(案件管理!$R17="×","9 ","")&amp;IF(案件管理!$S17="×","11 ","")&amp;IF(案件管理!$T17="×","12 ",""))</f>
        <v/>
      </c>
      <c r="N17" s="31">
        <f>IF(OR($B17="",$B17="—"),"",IF(案件管理!$I17="－","1-1 ","")&amp;IF(案件管理!$J17="－","1-2 ","")&amp;IF(案件管理!$K17="－","1-3 ","")&amp;IF(案件管理!$L17="－","2 ","")&amp;IF(案件管理!$M17="－","3 ","")&amp;IF(案件管理!$N17="－","4 ","")&amp;IF(案件管理!$O17="－","5 ","")&amp;IF(案件管理!$P17="－","8-1 ","")&amp;IF(案件管理!$Q17="－","8-2 ","")&amp;IF(案件管理!$R17="－","9 ","")&amp;IF(案件管理!$S17="－","11 ","")&amp;IF(案件管理!$T17="－","12 ",""))</f>
        <v/>
      </c>
      <c r="O17" s="31">
        <f>IF(OR($B17="",$B17="—"),"",案件管理!$AB17)</f>
        <v/>
      </c>
      <c r="P17" s="17">
        <f>IF(OR($B17="",$B17="—"),"",案件管理!$X17)</f>
        <v/>
      </c>
      <c r="Q17" s="22" t="n"/>
      <c r="R17" s="23" t="n"/>
      <c r="S17" s="20" t="n"/>
      <c r="T17" s="20" t="n"/>
    </row>
    <row r="18">
      <c r="A18" s="30" t="n"/>
      <c r="B18" s="17">
        <f>IF(案件管理!$A18="","",IF(OR($A18="✓",LEFT(案件管理!$U18,2)="A："),"◎ 上申対象",IF(LEFT(案件管理!$U18,2)="B：","△ 要相談","—")))</f>
        <v/>
      </c>
      <c r="C18" s="17">
        <f>IF(OR($B18="",$B18="—"),"",案件管理!$A18)</f>
        <v/>
      </c>
      <c r="D18" s="17">
        <f>IF(OR($B18="",$B18="—"),"",案件管理!$B18)</f>
        <v/>
      </c>
      <c r="E18" s="31">
        <f>IF(OR($B18="",$B18="—"),"",案件管理!$C18)</f>
        <v/>
      </c>
      <c r="F18" s="17">
        <f>IF(OR($B18="",$B18="—"),"",案件管理!$D18)</f>
        <v/>
      </c>
      <c r="G18" s="32">
        <f>IF(OR($B18="",$B18="—"),"",案件管理!$E18)</f>
        <v/>
      </c>
      <c r="H18" s="32">
        <f>IF(OR($B18="",$B18="—"),"",案件管理!$F18)</f>
        <v/>
      </c>
      <c r="I18" s="15">
        <f>IF(OR($B18="",$B18="—"),"",案件管理!$G18)</f>
        <v/>
      </c>
      <c r="J18" s="32">
        <f>IF(OR($B18="",$B18="—"),"",案件管理!$H18)</f>
        <v/>
      </c>
      <c r="K18" s="17">
        <f>IF(OR($B18="",$B18="—"),"",案件管理!$U18)</f>
        <v/>
      </c>
      <c r="L18" s="18">
        <f>IF(OR($B18="",$B18="—"),"",案件管理!$V18)</f>
        <v/>
      </c>
      <c r="M18" s="31">
        <f>IF(OR($B18="",$B18="—"),"",IF(案件管理!$I18="×","1-1 ","")&amp;IF(案件管理!$J18="×","1-2 ","")&amp;IF(案件管理!$K18="×","1-3 ","")&amp;IF(案件管理!$L18="×","2 ","")&amp;IF(案件管理!$M18="×","3 ","")&amp;IF(案件管理!$N18="×","4 ","")&amp;IF(案件管理!$O18="×","5 ","")&amp;IF(案件管理!$P18="×","8-1 ","")&amp;IF(案件管理!$Q18="×","8-2 ","")&amp;IF(案件管理!$R18="×","9 ","")&amp;IF(案件管理!$S18="×","11 ","")&amp;IF(案件管理!$T18="×","12 ",""))</f>
        <v/>
      </c>
      <c r="N18" s="31">
        <f>IF(OR($B18="",$B18="—"),"",IF(案件管理!$I18="－","1-1 ","")&amp;IF(案件管理!$J18="－","1-2 ","")&amp;IF(案件管理!$K18="－","1-3 ","")&amp;IF(案件管理!$L18="－","2 ","")&amp;IF(案件管理!$M18="－","3 ","")&amp;IF(案件管理!$N18="－","4 ","")&amp;IF(案件管理!$O18="－","5 ","")&amp;IF(案件管理!$P18="－","8-1 ","")&amp;IF(案件管理!$Q18="－","8-2 ","")&amp;IF(案件管理!$R18="－","9 ","")&amp;IF(案件管理!$S18="－","11 ","")&amp;IF(案件管理!$T18="－","12 ",""))</f>
        <v/>
      </c>
      <c r="O18" s="31">
        <f>IF(OR($B18="",$B18="—"),"",案件管理!$AB18)</f>
        <v/>
      </c>
      <c r="P18" s="17">
        <f>IF(OR($B18="",$B18="—"),"",案件管理!$X18)</f>
        <v/>
      </c>
      <c r="Q18" s="22" t="n"/>
      <c r="R18" s="23" t="n"/>
      <c r="S18" s="20" t="n"/>
      <c r="T18" s="20" t="n"/>
    </row>
    <row r="19">
      <c r="A19" s="30" t="n"/>
      <c r="B19" s="17">
        <f>IF(案件管理!$A19="","",IF(OR($A19="✓",LEFT(案件管理!$U19,2)="A："),"◎ 上申対象",IF(LEFT(案件管理!$U19,2)="B：","△ 要相談","—")))</f>
        <v/>
      </c>
      <c r="C19" s="17">
        <f>IF(OR($B19="",$B19="—"),"",案件管理!$A19)</f>
        <v/>
      </c>
      <c r="D19" s="17">
        <f>IF(OR($B19="",$B19="—"),"",案件管理!$B19)</f>
        <v/>
      </c>
      <c r="E19" s="31">
        <f>IF(OR($B19="",$B19="—"),"",案件管理!$C19)</f>
        <v/>
      </c>
      <c r="F19" s="17">
        <f>IF(OR($B19="",$B19="—"),"",案件管理!$D19)</f>
        <v/>
      </c>
      <c r="G19" s="32">
        <f>IF(OR($B19="",$B19="—"),"",案件管理!$E19)</f>
        <v/>
      </c>
      <c r="H19" s="32">
        <f>IF(OR($B19="",$B19="—"),"",案件管理!$F19)</f>
        <v/>
      </c>
      <c r="I19" s="15">
        <f>IF(OR($B19="",$B19="—"),"",案件管理!$G19)</f>
        <v/>
      </c>
      <c r="J19" s="32">
        <f>IF(OR($B19="",$B19="—"),"",案件管理!$H19)</f>
        <v/>
      </c>
      <c r="K19" s="17">
        <f>IF(OR($B19="",$B19="—"),"",案件管理!$U19)</f>
        <v/>
      </c>
      <c r="L19" s="18">
        <f>IF(OR($B19="",$B19="—"),"",案件管理!$V19)</f>
        <v/>
      </c>
      <c r="M19" s="31">
        <f>IF(OR($B19="",$B19="—"),"",IF(案件管理!$I19="×","1-1 ","")&amp;IF(案件管理!$J19="×","1-2 ","")&amp;IF(案件管理!$K19="×","1-3 ","")&amp;IF(案件管理!$L19="×","2 ","")&amp;IF(案件管理!$M19="×","3 ","")&amp;IF(案件管理!$N19="×","4 ","")&amp;IF(案件管理!$O19="×","5 ","")&amp;IF(案件管理!$P19="×","8-1 ","")&amp;IF(案件管理!$Q19="×","8-2 ","")&amp;IF(案件管理!$R19="×","9 ","")&amp;IF(案件管理!$S19="×","11 ","")&amp;IF(案件管理!$T19="×","12 ",""))</f>
        <v/>
      </c>
      <c r="N19" s="31">
        <f>IF(OR($B19="",$B19="—"),"",IF(案件管理!$I19="－","1-1 ","")&amp;IF(案件管理!$J19="－","1-2 ","")&amp;IF(案件管理!$K19="－","1-3 ","")&amp;IF(案件管理!$L19="－","2 ","")&amp;IF(案件管理!$M19="－","3 ","")&amp;IF(案件管理!$N19="－","4 ","")&amp;IF(案件管理!$O19="－","5 ","")&amp;IF(案件管理!$P19="－","8-1 ","")&amp;IF(案件管理!$Q19="－","8-2 ","")&amp;IF(案件管理!$R19="－","9 ","")&amp;IF(案件管理!$S19="－","11 ","")&amp;IF(案件管理!$T19="－","12 ",""))</f>
        <v/>
      </c>
      <c r="O19" s="31">
        <f>IF(OR($B19="",$B19="—"),"",案件管理!$AB19)</f>
        <v/>
      </c>
      <c r="P19" s="17">
        <f>IF(OR($B19="",$B19="—"),"",案件管理!$X19)</f>
        <v/>
      </c>
      <c r="Q19" s="22" t="n"/>
      <c r="R19" s="23" t="n"/>
      <c r="S19" s="20" t="n"/>
      <c r="T19" s="20" t="n"/>
    </row>
    <row r="20">
      <c r="A20" s="30" t="n"/>
      <c r="B20" s="17">
        <f>IF(案件管理!$A20="","",IF(OR($A20="✓",LEFT(案件管理!$U20,2)="A："),"◎ 上申対象",IF(LEFT(案件管理!$U20,2)="B：","△ 要相談","—")))</f>
        <v/>
      </c>
      <c r="C20" s="17">
        <f>IF(OR($B20="",$B20="—"),"",案件管理!$A20)</f>
        <v/>
      </c>
      <c r="D20" s="17">
        <f>IF(OR($B20="",$B20="—"),"",案件管理!$B20)</f>
        <v/>
      </c>
      <c r="E20" s="31">
        <f>IF(OR($B20="",$B20="—"),"",案件管理!$C20)</f>
        <v/>
      </c>
      <c r="F20" s="17">
        <f>IF(OR($B20="",$B20="—"),"",案件管理!$D20)</f>
        <v/>
      </c>
      <c r="G20" s="32">
        <f>IF(OR($B20="",$B20="—"),"",案件管理!$E20)</f>
        <v/>
      </c>
      <c r="H20" s="32">
        <f>IF(OR($B20="",$B20="—"),"",案件管理!$F20)</f>
        <v/>
      </c>
      <c r="I20" s="15">
        <f>IF(OR($B20="",$B20="—"),"",案件管理!$G20)</f>
        <v/>
      </c>
      <c r="J20" s="32">
        <f>IF(OR($B20="",$B20="—"),"",案件管理!$H20)</f>
        <v/>
      </c>
      <c r="K20" s="17">
        <f>IF(OR($B20="",$B20="—"),"",案件管理!$U20)</f>
        <v/>
      </c>
      <c r="L20" s="18">
        <f>IF(OR($B20="",$B20="—"),"",案件管理!$V20)</f>
        <v/>
      </c>
      <c r="M20" s="31">
        <f>IF(OR($B20="",$B20="—"),"",IF(案件管理!$I20="×","1-1 ","")&amp;IF(案件管理!$J20="×","1-2 ","")&amp;IF(案件管理!$K20="×","1-3 ","")&amp;IF(案件管理!$L20="×","2 ","")&amp;IF(案件管理!$M20="×","3 ","")&amp;IF(案件管理!$N20="×","4 ","")&amp;IF(案件管理!$O20="×","5 ","")&amp;IF(案件管理!$P20="×","8-1 ","")&amp;IF(案件管理!$Q20="×","8-2 ","")&amp;IF(案件管理!$R20="×","9 ","")&amp;IF(案件管理!$S20="×","11 ","")&amp;IF(案件管理!$T20="×","12 ",""))</f>
        <v/>
      </c>
      <c r="N20" s="31">
        <f>IF(OR($B20="",$B20="—"),"",IF(案件管理!$I20="－","1-1 ","")&amp;IF(案件管理!$J20="－","1-2 ","")&amp;IF(案件管理!$K20="－","1-3 ","")&amp;IF(案件管理!$L20="－","2 ","")&amp;IF(案件管理!$M20="－","3 ","")&amp;IF(案件管理!$N20="－","4 ","")&amp;IF(案件管理!$O20="－","5 ","")&amp;IF(案件管理!$P20="－","8-1 ","")&amp;IF(案件管理!$Q20="－","8-2 ","")&amp;IF(案件管理!$R20="－","9 ","")&amp;IF(案件管理!$S20="－","11 ","")&amp;IF(案件管理!$T20="－","12 ",""))</f>
        <v/>
      </c>
      <c r="O20" s="31">
        <f>IF(OR($B20="",$B20="—"),"",案件管理!$AB20)</f>
        <v/>
      </c>
      <c r="P20" s="17">
        <f>IF(OR($B20="",$B20="—"),"",案件管理!$X20)</f>
        <v/>
      </c>
      <c r="Q20" s="22" t="n"/>
      <c r="R20" s="23" t="n"/>
      <c r="S20" s="20" t="n"/>
      <c r="T20" s="20" t="n"/>
    </row>
    <row r="21">
      <c r="A21" s="30" t="n"/>
      <c r="B21" s="17">
        <f>IF(案件管理!$A21="","",IF(OR($A21="✓",LEFT(案件管理!$U21,2)="A："),"◎ 上申対象",IF(LEFT(案件管理!$U21,2)="B：","△ 要相談","—")))</f>
        <v/>
      </c>
      <c r="C21" s="17">
        <f>IF(OR($B21="",$B21="—"),"",案件管理!$A21)</f>
        <v/>
      </c>
      <c r="D21" s="17">
        <f>IF(OR($B21="",$B21="—"),"",案件管理!$B21)</f>
        <v/>
      </c>
      <c r="E21" s="31">
        <f>IF(OR($B21="",$B21="—"),"",案件管理!$C21)</f>
        <v/>
      </c>
      <c r="F21" s="17">
        <f>IF(OR($B21="",$B21="—"),"",案件管理!$D21)</f>
        <v/>
      </c>
      <c r="G21" s="32">
        <f>IF(OR($B21="",$B21="—"),"",案件管理!$E21)</f>
        <v/>
      </c>
      <c r="H21" s="32">
        <f>IF(OR($B21="",$B21="—"),"",案件管理!$F21)</f>
        <v/>
      </c>
      <c r="I21" s="15">
        <f>IF(OR($B21="",$B21="—"),"",案件管理!$G21)</f>
        <v/>
      </c>
      <c r="J21" s="32">
        <f>IF(OR($B21="",$B21="—"),"",案件管理!$H21)</f>
        <v/>
      </c>
      <c r="K21" s="17">
        <f>IF(OR($B21="",$B21="—"),"",案件管理!$U21)</f>
        <v/>
      </c>
      <c r="L21" s="18">
        <f>IF(OR($B21="",$B21="—"),"",案件管理!$V21)</f>
        <v/>
      </c>
      <c r="M21" s="31">
        <f>IF(OR($B21="",$B21="—"),"",IF(案件管理!$I21="×","1-1 ","")&amp;IF(案件管理!$J21="×","1-2 ","")&amp;IF(案件管理!$K21="×","1-3 ","")&amp;IF(案件管理!$L21="×","2 ","")&amp;IF(案件管理!$M21="×","3 ","")&amp;IF(案件管理!$N21="×","4 ","")&amp;IF(案件管理!$O21="×","5 ","")&amp;IF(案件管理!$P21="×","8-1 ","")&amp;IF(案件管理!$Q21="×","8-2 ","")&amp;IF(案件管理!$R21="×","9 ","")&amp;IF(案件管理!$S21="×","11 ","")&amp;IF(案件管理!$T21="×","12 ",""))</f>
        <v/>
      </c>
      <c r="N21" s="31">
        <f>IF(OR($B21="",$B21="—"),"",IF(案件管理!$I21="－","1-1 ","")&amp;IF(案件管理!$J21="－","1-2 ","")&amp;IF(案件管理!$K21="－","1-3 ","")&amp;IF(案件管理!$L21="－","2 ","")&amp;IF(案件管理!$M21="－","3 ","")&amp;IF(案件管理!$N21="－","4 ","")&amp;IF(案件管理!$O21="－","5 ","")&amp;IF(案件管理!$P21="－","8-1 ","")&amp;IF(案件管理!$Q21="－","8-2 ","")&amp;IF(案件管理!$R21="－","9 ","")&amp;IF(案件管理!$S21="－","11 ","")&amp;IF(案件管理!$T21="－","12 ",""))</f>
        <v/>
      </c>
      <c r="O21" s="31">
        <f>IF(OR($B21="",$B21="—"),"",案件管理!$AB21)</f>
        <v/>
      </c>
      <c r="P21" s="17">
        <f>IF(OR($B21="",$B21="—"),"",案件管理!$X21)</f>
        <v/>
      </c>
      <c r="Q21" s="22" t="n"/>
      <c r="R21" s="23" t="n"/>
      <c r="S21" s="20" t="n"/>
      <c r="T21" s="20" t="n"/>
    </row>
    <row r="22">
      <c r="A22" s="30" t="n"/>
      <c r="B22" s="17">
        <f>IF(案件管理!$A22="","",IF(OR($A22="✓",LEFT(案件管理!$U22,2)="A："),"◎ 上申対象",IF(LEFT(案件管理!$U22,2)="B：","△ 要相談","—")))</f>
        <v/>
      </c>
      <c r="C22" s="17">
        <f>IF(OR($B22="",$B22="—"),"",案件管理!$A22)</f>
        <v/>
      </c>
      <c r="D22" s="17">
        <f>IF(OR($B22="",$B22="—"),"",案件管理!$B22)</f>
        <v/>
      </c>
      <c r="E22" s="31">
        <f>IF(OR($B22="",$B22="—"),"",案件管理!$C22)</f>
        <v/>
      </c>
      <c r="F22" s="17">
        <f>IF(OR($B22="",$B22="—"),"",案件管理!$D22)</f>
        <v/>
      </c>
      <c r="G22" s="32">
        <f>IF(OR($B22="",$B22="—"),"",案件管理!$E22)</f>
        <v/>
      </c>
      <c r="H22" s="32">
        <f>IF(OR($B22="",$B22="—"),"",案件管理!$F22)</f>
        <v/>
      </c>
      <c r="I22" s="15">
        <f>IF(OR($B22="",$B22="—"),"",案件管理!$G22)</f>
        <v/>
      </c>
      <c r="J22" s="32">
        <f>IF(OR($B22="",$B22="—"),"",案件管理!$H22)</f>
        <v/>
      </c>
      <c r="K22" s="17">
        <f>IF(OR($B22="",$B22="—"),"",案件管理!$U22)</f>
        <v/>
      </c>
      <c r="L22" s="18">
        <f>IF(OR($B22="",$B22="—"),"",案件管理!$V22)</f>
        <v/>
      </c>
      <c r="M22" s="31">
        <f>IF(OR($B22="",$B22="—"),"",IF(案件管理!$I22="×","1-1 ","")&amp;IF(案件管理!$J22="×","1-2 ","")&amp;IF(案件管理!$K22="×","1-3 ","")&amp;IF(案件管理!$L22="×","2 ","")&amp;IF(案件管理!$M22="×","3 ","")&amp;IF(案件管理!$N22="×","4 ","")&amp;IF(案件管理!$O22="×","5 ","")&amp;IF(案件管理!$P22="×","8-1 ","")&amp;IF(案件管理!$Q22="×","8-2 ","")&amp;IF(案件管理!$R22="×","9 ","")&amp;IF(案件管理!$S22="×","11 ","")&amp;IF(案件管理!$T22="×","12 ",""))</f>
        <v/>
      </c>
      <c r="N22" s="31">
        <f>IF(OR($B22="",$B22="—"),"",IF(案件管理!$I22="－","1-1 ","")&amp;IF(案件管理!$J22="－","1-2 ","")&amp;IF(案件管理!$K22="－","1-3 ","")&amp;IF(案件管理!$L22="－","2 ","")&amp;IF(案件管理!$M22="－","3 ","")&amp;IF(案件管理!$N22="－","4 ","")&amp;IF(案件管理!$O22="－","5 ","")&amp;IF(案件管理!$P22="－","8-1 ","")&amp;IF(案件管理!$Q22="－","8-2 ","")&amp;IF(案件管理!$R22="－","9 ","")&amp;IF(案件管理!$S22="－","11 ","")&amp;IF(案件管理!$T22="－","12 ",""))</f>
        <v/>
      </c>
      <c r="O22" s="31">
        <f>IF(OR($B22="",$B22="—"),"",案件管理!$AB22)</f>
        <v/>
      </c>
      <c r="P22" s="17">
        <f>IF(OR($B22="",$B22="—"),"",案件管理!$X22)</f>
        <v/>
      </c>
      <c r="Q22" s="22" t="n"/>
      <c r="R22" s="23" t="n"/>
      <c r="S22" s="20" t="n"/>
      <c r="T22" s="20" t="n"/>
    </row>
    <row r="23">
      <c r="A23" s="30" t="n"/>
      <c r="B23" s="17">
        <f>IF(案件管理!$A23="","",IF(OR($A23="✓",LEFT(案件管理!$U23,2)="A："),"◎ 上申対象",IF(LEFT(案件管理!$U23,2)="B：","△ 要相談","—")))</f>
        <v/>
      </c>
      <c r="C23" s="17">
        <f>IF(OR($B23="",$B23="—"),"",案件管理!$A23)</f>
        <v/>
      </c>
      <c r="D23" s="17">
        <f>IF(OR($B23="",$B23="—"),"",案件管理!$B23)</f>
        <v/>
      </c>
      <c r="E23" s="31">
        <f>IF(OR($B23="",$B23="—"),"",案件管理!$C23)</f>
        <v/>
      </c>
      <c r="F23" s="17">
        <f>IF(OR($B23="",$B23="—"),"",案件管理!$D23)</f>
        <v/>
      </c>
      <c r="G23" s="32">
        <f>IF(OR($B23="",$B23="—"),"",案件管理!$E23)</f>
        <v/>
      </c>
      <c r="H23" s="32">
        <f>IF(OR($B23="",$B23="—"),"",案件管理!$F23)</f>
        <v/>
      </c>
      <c r="I23" s="15">
        <f>IF(OR($B23="",$B23="—"),"",案件管理!$G23)</f>
        <v/>
      </c>
      <c r="J23" s="32">
        <f>IF(OR($B23="",$B23="—"),"",案件管理!$H23)</f>
        <v/>
      </c>
      <c r="K23" s="17">
        <f>IF(OR($B23="",$B23="—"),"",案件管理!$U23)</f>
        <v/>
      </c>
      <c r="L23" s="18">
        <f>IF(OR($B23="",$B23="—"),"",案件管理!$V23)</f>
        <v/>
      </c>
      <c r="M23" s="31">
        <f>IF(OR($B23="",$B23="—"),"",IF(案件管理!$I23="×","1-1 ","")&amp;IF(案件管理!$J23="×","1-2 ","")&amp;IF(案件管理!$K23="×","1-3 ","")&amp;IF(案件管理!$L23="×","2 ","")&amp;IF(案件管理!$M23="×","3 ","")&amp;IF(案件管理!$N23="×","4 ","")&amp;IF(案件管理!$O23="×","5 ","")&amp;IF(案件管理!$P23="×","8-1 ","")&amp;IF(案件管理!$Q23="×","8-2 ","")&amp;IF(案件管理!$R23="×","9 ","")&amp;IF(案件管理!$S23="×","11 ","")&amp;IF(案件管理!$T23="×","12 ",""))</f>
        <v/>
      </c>
      <c r="N23" s="31">
        <f>IF(OR($B23="",$B23="—"),"",IF(案件管理!$I23="－","1-1 ","")&amp;IF(案件管理!$J23="－","1-2 ","")&amp;IF(案件管理!$K23="－","1-3 ","")&amp;IF(案件管理!$L23="－","2 ","")&amp;IF(案件管理!$M23="－","3 ","")&amp;IF(案件管理!$N23="－","4 ","")&amp;IF(案件管理!$O23="－","5 ","")&amp;IF(案件管理!$P23="－","8-1 ","")&amp;IF(案件管理!$Q23="－","8-2 ","")&amp;IF(案件管理!$R23="－","9 ","")&amp;IF(案件管理!$S23="－","11 ","")&amp;IF(案件管理!$T23="－","12 ",""))</f>
        <v/>
      </c>
      <c r="O23" s="31">
        <f>IF(OR($B23="",$B23="—"),"",案件管理!$AB23)</f>
        <v/>
      </c>
      <c r="P23" s="17">
        <f>IF(OR($B23="",$B23="—"),"",案件管理!$X23)</f>
        <v/>
      </c>
      <c r="Q23" s="22" t="n"/>
      <c r="R23" s="23" t="n"/>
      <c r="S23" s="20" t="n"/>
      <c r="T23" s="20" t="n"/>
    </row>
    <row r="24">
      <c r="A24" s="30" t="n"/>
      <c r="B24" s="17">
        <f>IF(案件管理!$A24="","",IF(OR($A24="✓",LEFT(案件管理!$U24,2)="A："),"◎ 上申対象",IF(LEFT(案件管理!$U24,2)="B：","△ 要相談","—")))</f>
        <v/>
      </c>
      <c r="C24" s="17">
        <f>IF(OR($B24="",$B24="—"),"",案件管理!$A24)</f>
        <v/>
      </c>
      <c r="D24" s="17">
        <f>IF(OR($B24="",$B24="—"),"",案件管理!$B24)</f>
        <v/>
      </c>
      <c r="E24" s="31">
        <f>IF(OR($B24="",$B24="—"),"",案件管理!$C24)</f>
        <v/>
      </c>
      <c r="F24" s="17">
        <f>IF(OR($B24="",$B24="—"),"",案件管理!$D24)</f>
        <v/>
      </c>
      <c r="G24" s="32">
        <f>IF(OR($B24="",$B24="—"),"",案件管理!$E24)</f>
        <v/>
      </c>
      <c r="H24" s="32">
        <f>IF(OR($B24="",$B24="—"),"",案件管理!$F24)</f>
        <v/>
      </c>
      <c r="I24" s="15">
        <f>IF(OR($B24="",$B24="—"),"",案件管理!$G24)</f>
        <v/>
      </c>
      <c r="J24" s="32">
        <f>IF(OR($B24="",$B24="—"),"",案件管理!$H24)</f>
        <v/>
      </c>
      <c r="K24" s="17">
        <f>IF(OR($B24="",$B24="—"),"",案件管理!$U24)</f>
        <v/>
      </c>
      <c r="L24" s="18">
        <f>IF(OR($B24="",$B24="—"),"",案件管理!$V24)</f>
        <v/>
      </c>
      <c r="M24" s="31">
        <f>IF(OR($B24="",$B24="—"),"",IF(案件管理!$I24="×","1-1 ","")&amp;IF(案件管理!$J24="×","1-2 ","")&amp;IF(案件管理!$K24="×","1-3 ","")&amp;IF(案件管理!$L24="×","2 ","")&amp;IF(案件管理!$M24="×","3 ","")&amp;IF(案件管理!$N24="×","4 ","")&amp;IF(案件管理!$O24="×","5 ","")&amp;IF(案件管理!$P24="×","8-1 ","")&amp;IF(案件管理!$Q24="×","8-2 ","")&amp;IF(案件管理!$R24="×","9 ","")&amp;IF(案件管理!$S24="×","11 ","")&amp;IF(案件管理!$T24="×","12 ",""))</f>
        <v/>
      </c>
      <c r="N24" s="31">
        <f>IF(OR($B24="",$B24="—"),"",IF(案件管理!$I24="－","1-1 ","")&amp;IF(案件管理!$J24="－","1-2 ","")&amp;IF(案件管理!$K24="－","1-3 ","")&amp;IF(案件管理!$L24="－","2 ","")&amp;IF(案件管理!$M24="－","3 ","")&amp;IF(案件管理!$N24="－","4 ","")&amp;IF(案件管理!$O24="－","5 ","")&amp;IF(案件管理!$P24="－","8-1 ","")&amp;IF(案件管理!$Q24="－","8-2 ","")&amp;IF(案件管理!$R24="－","9 ","")&amp;IF(案件管理!$S24="－","11 ","")&amp;IF(案件管理!$T24="－","12 ",""))</f>
        <v/>
      </c>
      <c r="O24" s="31">
        <f>IF(OR($B24="",$B24="—"),"",案件管理!$AB24)</f>
        <v/>
      </c>
      <c r="P24" s="17">
        <f>IF(OR($B24="",$B24="—"),"",案件管理!$X24)</f>
        <v/>
      </c>
      <c r="Q24" s="22" t="n"/>
      <c r="R24" s="23" t="n"/>
      <c r="S24" s="20" t="n"/>
      <c r="T24" s="20" t="n"/>
    </row>
    <row r="25">
      <c r="A25" s="30" t="n"/>
      <c r="B25" s="17">
        <f>IF(案件管理!$A25="","",IF(OR($A25="✓",LEFT(案件管理!$U25,2)="A："),"◎ 上申対象",IF(LEFT(案件管理!$U25,2)="B：","△ 要相談","—")))</f>
        <v/>
      </c>
      <c r="C25" s="17">
        <f>IF(OR($B25="",$B25="—"),"",案件管理!$A25)</f>
        <v/>
      </c>
      <c r="D25" s="17">
        <f>IF(OR($B25="",$B25="—"),"",案件管理!$B25)</f>
        <v/>
      </c>
      <c r="E25" s="31">
        <f>IF(OR($B25="",$B25="—"),"",案件管理!$C25)</f>
        <v/>
      </c>
      <c r="F25" s="17">
        <f>IF(OR($B25="",$B25="—"),"",案件管理!$D25)</f>
        <v/>
      </c>
      <c r="G25" s="32">
        <f>IF(OR($B25="",$B25="—"),"",案件管理!$E25)</f>
        <v/>
      </c>
      <c r="H25" s="32">
        <f>IF(OR($B25="",$B25="—"),"",案件管理!$F25)</f>
        <v/>
      </c>
      <c r="I25" s="15">
        <f>IF(OR($B25="",$B25="—"),"",案件管理!$G25)</f>
        <v/>
      </c>
      <c r="J25" s="32">
        <f>IF(OR($B25="",$B25="—"),"",案件管理!$H25)</f>
        <v/>
      </c>
      <c r="K25" s="17">
        <f>IF(OR($B25="",$B25="—"),"",案件管理!$U25)</f>
        <v/>
      </c>
      <c r="L25" s="18">
        <f>IF(OR($B25="",$B25="—"),"",案件管理!$V25)</f>
        <v/>
      </c>
      <c r="M25" s="31">
        <f>IF(OR($B25="",$B25="—"),"",IF(案件管理!$I25="×","1-1 ","")&amp;IF(案件管理!$J25="×","1-2 ","")&amp;IF(案件管理!$K25="×","1-3 ","")&amp;IF(案件管理!$L25="×","2 ","")&amp;IF(案件管理!$M25="×","3 ","")&amp;IF(案件管理!$N25="×","4 ","")&amp;IF(案件管理!$O25="×","5 ","")&amp;IF(案件管理!$P25="×","8-1 ","")&amp;IF(案件管理!$Q25="×","8-2 ","")&amp;IF(案件管理!$R25="×","9 ","")&amp;IF(案件管理!$S25="×","11 ","")&amp;IF(案件管理!$T25="×","12 ",""))</f>
        <v/>
      </c>
      <c r="N25" s="31">
        <f>IF(OR($B25="",$B25="—"),"",IF(案件管理!$I25="－","1-1 ","")&amp;IF(案件管理!$J25="－","1-2 ","")&amp;IF(案件管理!$K25="－","1-3 ","")&amp;IF(案件管理!$L25="－","2 ","")&amp;IF(案件管理!$M25="－","3 ","")&amp;IF(案件管理!$N25="－","4 ","")&amp;IF(案件管理!$O25="－","5 ","")&amp;IF(案件管理!$P25="－","8-1 ","")&amp;IF(案件管理!$Q25="－","8-2 ","")&amp;IF(案件管理!$R25="－","9 ","")&amp;IF(案件管理!$S25="－","11 ","")&amp;IF(案件管理!$T25="－","12 ",""))</f>
        <v/>
      </c>
      <c r="O25" s="31">
        <f>IF(OR($B25="",$B25="—"),"",案件管理!$AB25)</f>
        <v/>
      </c>
      <c r="P25" s="17">
        <f>IF(OR($B25="",$B25="—"),"",案件管理!$X25)</f>
        <v/>
      </c>
      <c r="Q25" s="22" t="n"/>
      <c r="R25" s="23" t="n"/>
      <c r="S25" s="20" t="n"/>
      <c r="T25" s="20" t="n"/>
    </row>
    <row r="26">
      <c r="A26" s="30" t="n"/>
      <c r="B26" s="17">
        <f>IF(案件管理!$A26="","",IF(OR($A26="✓",LEFT(案件管理!$U26,2)="A："),"◎ 上申対象",IF(LEFT(案件管理!$U26,2)="B：","△ 要相談","—")))</f>
        <v/>
      </c>
      <c r="C26" s="17">
        <f>IF(OR($B26="",$B26="—"),"",案件管理!$A26)</f>
        <v/>
      </c>
      <c r="D26" s="17">
        <f>IF(OR($B26="",$B26="—"),"",案件管理!$B26)</f>
        <v/>
      </c>
      <c r="E26" s="31">
        <f>IF(OR($B26="",$B26="—"),"",案件管理!$C26)</f>
        <v/>
      </c>
      <c r="F26" s="17">
        <f>IF(OR($B26="",$B26="—"),"",案件管理!$D26)</f>
        <v/>
      </c>
      <c r="G26" s="32">
        <f>IF(OR($B26="",$B26="—"),"",案件管理!$E26)</f>
        <v/>
      </c>
      <c r="H26" s="32">
        <f>IF(OR($B26="",$B26="—"),"",案件管理!$F26)</f>
        <v/>
      </c>
      <c r="I26" s="15">
        <f>IF(OR($B26="",$B26="—"),"",案件管理!$G26)</f>
        <v/>
      </c>
      <c r="J26" s="32">
        <f>IF(OR($B26="",$B26="—"),"",案件管理!$H26)</f>
        <v/>
      </c>
      <c r="K26" s="17">
        <f>IF(OR($B26="",$B26="—"),"",案件管理!$U26)</f>
        <v/>
      </c>
      <c r="L26" s="18">
        <f>IF(OR($B26="",$B26="—"),"",案件管理!$V26)</f>
        <v/>
      </c>
      <c r="M26" s="31">
        <f>IF(OR($B26="",$B26="—"),"",IF(案件管理!$I26="×","1-1 ","")&amp;IF(案件管理!$J26="×","1-2 ","")&amp;IF(案件管理!$K26="×","1-3 ","")&amp;IF(案件管理!$L26="×","2 ","")&amp;IF(案件管理!$M26="×","3 ","")&amp;IF(案件管理!$N26="×","4 ","")&amp;IF(案件管理!$O26="×","5 ","")&amp;IF(案件管理!$P26="×","8-1 ","")&amp;IF(案件管理!$Q26="×","8-2 ","")&amp;IF(案件管理!$R26="×","9 ","")&amp;IF(案件管理!$S26="×","11 ","")&amp;IF(案件管理!$T26="×","12 ",""))</f>
        <v/>
      </c>
      <c r="N26" s="31">
        <f>IF(OR($B26="",$B26="—"),"",IF(案件管理!$I26="－","1-1 ","")&amp;IF(案件管理!$J26="－","1-2 ","")&amp;IF(案件管理!$K26="－","1-3 ","")&amp;IF(案件管理!$L26="－","2 ","")&amp;IF(案件管理!$M26="－","3 ","")&amp;IF(案件管理!$N26="－","4 ","")&amp;IF(案件管理!$O26="－","5 ","")&amp;IF(案件管理!$P26="－","8-1 ","")&amp;IF(案件管理!$Q26="－","8-2 ","")&amp;IF(案件管理!$R26="－","9 ","")&amp;IF(案件管理!$S26="－","11 ","")&amp;IF(案件管理!$T26="－","12 ",""))</f>
        <v/>
      </c>
      <c r="O26" s="31">
        <f>IF(OR($B26="",$B26="—"),"",案件管理!$AB26)</f>
        <v/>
      </c>
      <c r="P26" s="17">
        <f>IF(OR($B26="",$B26="—"),"",案件管理!$X26)</f>
        <v/>
      </c>
      <c r="Q26" s="22" t="n"/>
      <c r="R26" s="23" t="n"/>
      <c r="S26" s="20" t="n"/>
      <c r="T26" s="20" t="n"/>
    </row>
    <row r="27">
      <c r="A27" s="30" t="n"/>
      <c r="B27" s="17">
        <f>IF(案件管理!$A27="","",IF(OR($A27="✓",LEFT(案件管理!$U27,2)="A："),"◎ 上申対象",IF(LEFT(案件管理!$U27,2)="B：","△ 要相談","—")))</f>
        <v/>
      </c>
      <c r="C27" s="17">
        <f>IF(OR($B27="",$B27="—"),"",案件管理!$A27)</f>
        <v/>
      </c>
      <c r="D27" s="17">
        <f>IF(OR($B27="",$B27="—"),"",案件管理!$B27)</f>
        <v/>
      </c>
      <c r="E27" s="31">
        <f>IF(OR($B27="",$B27="—"),"",案件管理!$C27)</f>
        <v/>
      </c>
      <c r="F27" s="17">
        <f>IF(OR($B27="",$B27="—"),"",案件管理!$D27)</f>
        <v/>
      </c>
      <c r="G27" s="32">
        <f>IF(OR($B27="",$B27="—"),"",案件管理!$E27)</f>
        <v/>
      </c>
      <c r="H27" s="32">
        <f>IF(OR($B27="",$B27="—"),"",案件管理!$F27)</f>
        <v/>
      </c>
      <c r="I27" s="15">
        <f>IF(OR($B27="",$B27="—"),"",案件管理!$G27)</f>
        <v/>
      </c>
      <c r="J27" s="32">
        <f>IF(OR($B27="",$B27="—"),"",案件管理!$H27)</f>
        <v/>
      </c>
      <c r="K27" s="17">
        <f>IF(OR($B27="",$B27="—"),"",案件管理!$U27)</f>
        <v/>
      </c>
      <c r="L27" s="18">
        <f>IF(OR($B27="",$B27="—"),"",案件管理!$V27)</f>
        <v/>
      </c>
      <c r="M27" s="31">
        <f>IF(OR($B27="",$B27="—"),"",IF(案件管理!$I27="×","1-1 ","")&amp;IF(案件管理!$J27="×","1-2 ","")&amp;IF(案件管理!$K27="×","1-3 ","")&amp;IF(案件管理!$L27="×","2 ","")&amp;IF(案件管理!$M27="×","3 ","")&amp;IF(案件管理!$N27="×","4 ","")&amp;IF(案件管理!$O27="×","5 ","")&amp;IF(案件管理!$P27="×","8-1 ","")&amp;IF(案件管理!$Q27="×","8-2 ","")&amp;IF(案件管理!$R27="×","9 ","")&amp;IF(案件管理!$S27="×","11 ","")&amp;IF(案件管理!$T27="×","12 ",""))</f>
        <v/>
      </c>
      <c r="N27" s="31">
        <f>IF(OR($B27="",$B27="—"),"",IF(案件管理!$I27="－","1-1 ","")&amp;IF(案件管理!$J27="－","1-2 ","")&amp;IF(案件管理!$K27="－","1-3 ","")&amp;IF(案件管理!$L27="－","2 ","")&amp;IF(案件管理!$M27="－","3 ","")&amp;IF(案件管理!$N27="－","4 ","")&amp;IF(案件管理!$O27="－","5 ","")&amp;IF(案件管理!$P27="－","8-1 ","")&amp;IF(案件管理!$Q27="－","8-2 ","")&amp;IF(案件管理!$R27="－","9 ","")&amp;IF(案件管理!$S27="－","11 ","")&amp;IF(案件管理!$T27="－","12 ",""))</f>
        <v/>
      </c>
      <c r="O27" s="31">
        <f>IF(OR($B27="",$B27="—"),"",案件管理!$AB27)</f>
        <v/>
      </c>
      <c r="P27" s="17">
        <f>IF(OR($B27="",$B27="—"),"",案件管理!$X27)</f>
        <v/>
      </c>
      <c r="Q27" s="22" t="n"/>
      <c r="R27" s="23" t="n"/>
      <c r="S27" s="20" t="n"/>
      <c r="T27" s="20" t="n"/>
    </row>
    <row r="28">
      <c r="A28" s="30" t="n"/>
      <c r="B28" s="17">
        <f>IF(案件管理!$A28="","",IF(OR($A28="✓",LEFT(案件管理!$U28,2)="A："),"◎ 上申対象",IF(LEFT(案件管理!$U28,2)="B：","△ 要相談","—")))</f>
        <v/>
      </c>
      <c r="C28" s="17">
        <f>IF(OR($B28="",$B28="—"),"",案件管理!$A28)</f>
        <v/>
      </c>
      <c r="D28" s="17">
        <f>IF(OR($B28="",$B28="—"),"",案件管理!$B28)</f>
        <v/>
      </c>
      <c r="E28" s="31">
        <f>IF(OR($B28="",$B28="—"),"",案件管理!$C28)</f>
        <v/>
      </c>
      <c r="F28" s="17">
        <f>IF(OR($B28="",$B28="—"),"",案件管理!$D28)</f>
        <v/>
      </c>
      <c r="G28" s="32">
        <f>IF(OR($B28="",$B28="—"),"",案件管理!$E28)</f>
        <v/>
      </c>
      <c r="H28" s="32">
        <f>IF(OR($B28="",$B28="—"),"",案件管理!$F28)</f>
        <v/>
      </c>
      <c r="I28" s="15">
        <f>IF(OR($B28="",$B28="—"),"",案件管理!$G28)</f>
        <v/>
      </c>
      <c r="J28" s="32">
        <f>IF(OR($B28="",$B28="—"),"",案件管理!$H28)</f>
        <v/>
      </c>
      <c r="K28" s="17">
        <f>IF(OR($B28="",$B28="—"),"",案件管理!$U28)</f>
        <v/>
      </c>
      <c r="L28" s="18">
        <f>IF(OR($B28="",$B28="—"),"",案件管理!$V28)</f>
        <v/>
      </c>
      <c r="M28" s="31">
        <f>IF(OR($B28="",$B28="—"),"",IF(案件管理!$I28="×","1-1 ","")&amp;IF(案件管理!$J28="×","1-2 ","")&amp;IF(案件管理!$K28="×","1-3 ","")&amp;IF(案件管理!$L28="×","2 ","")&amp;IF(案件管理!$M28="×","3 ","")&amp;IF(案件管理!$N28="×","4 ","")&amp;IF(案件管理!$O28="×","5 ","")&amp;IF(案件管理!$P28="×","8-1 ","")&amp;IF(案件管理!$Q28="×","8-2 ","")&amp;IF(案件管理!$R28="×","9 ","")&amp;IF(案件管理!$S28="×","11 ","")&amp;IF(案件管理!$T28="×","12 ",""))</f>
        <v/>
      </c>
      <c r="N28" s="31">
        <f>IF(OR($B28="",$B28="—"),"",IF(案件管理!$I28="－","1-1 ","")&amp;IF(案件管理!$J28="－","1-2 ","")&amp;IF(案件管理!$K28="－","1-3 ","")&amp;IF(案件管理!$L28="－","2 ","")&amp;IF(案件管理!$M28="－","3 ","")&amp;IF(案件管理!$N28="－","4 ","")&amp;IF(案件管理!$O28="－","5 ","")&amp;IF(案件管理!$P28="－","8-1 ","")&amp;IF(案件管理!$Q28="－","8-2 ","")&amp;IF(案件管理!$R28="－","9 ","")&amp;IF(案件管理!$S28="－","11 ","")&amp;IF(案件管理!$T28="－","12 ",""))</f>
        <v/>
      </c>
      <c r="O28" s="31">
        <f>IF(OR($B28="",$B28="—"),"",案件管理!$AB28)</f>
        <v/>
      </c>
      <c r="P28" s="17">
        <f>IF(OR($B28="",$B28="—"),"",案件管理!$X28)</f>
        <v/>
      </c>
      <c r="Q28" s="22" t="n"/>
      <c r="R28" s="23" t="n"/>
      <c r="S28" s="20" t="n"/>
      <c r="T28" s="20" t="n"/>
    </row>
    <row r="29">
      <c r="A29" s="30" t="n"/>
      <c r="B29" s="17">
        <f>IF(案件管理!$A29="","",IF(OR($A29="✓",LEFT(案件管理!$U29,2)="A："),"◎ 上申対象",IF(LEFT(案件管理!$U29,2)="B：","△ 要相談","—")))</f>
        <v/>
      </c>
      <c r="C29" s="17">
        <f>IF(OR($B29="",$B29="—"),"",案件管理!$A29)</f>
        <v/>
      </c>
      <c r="D29" s="17">
        <f>IF(OR($B29="",$B29="—"),"",案件管理!$B29)</f>
        <v/>
      </c>
      <c r="E29" s="31">
        <f>IF(OR($B29="",$B29="—"),"",案件管理!$C29)</f>
        <v/>
      </c>
      <c r="F29" s="17">
        <f>IF(OR($B29="",$B29="—"),"",案件管理!$D29)</f>
        <v/>
      </c>
      <c r="G29" s="32">
        <f>IF(OR($B29="",$B29="—"),"",案件管理!$E29)</f>
        <v/>
      </c>
      <c r="H29" s="32">
        <f>IF(OR($B29="",$B29="—"),"",案件管理!$F29)</f>
        <v/>
      </c>
      <c r="I29" s="15">
        <f>IF(OR($B29="",$B29="—"),"",案件管理!$G29)</f>
        <v/>
      </c>
      <c r="J29" s="32">
        <f>IF(OR($B29="",$B29="—"),"",案件管理!$H29)</f>
        <v/>
      </c>
      <c r="K29" s="17">
        <f>IF(OR($B29="",$B29="—"),"",案件管理!$U29)</f>
        <v/>
      </c>
      <c r="L29" s="18">
        <f>IF(OR($B29="",$B29="—"),"",案件管理!$V29)</f>
        <v/>
      </c>
      <c r="M29" s="31">
        <f>IF(OR($B29="",$B29="—"),"",IF(案件管理!$I29="×","1-1 ","")&amp;IF(案件管理!$J29="×","1-2 ","")&amp;IF(案件管理!$K29="×","1-3 ","")&amp;IF(案件管理!$L29="×","2 ","")&amp;IF(案件管理!$M29="×","3 ","")&amp;IF(案件管理!$N29="×","4 ","")&amp;IF(案件管理!$O29="×","5 ","")&amp;IF(案件管理!$P29="×","8-1 ","")&amp;IF(案件管理!$Q29="×","8-2 ","")&amp;IF(案件管理!$R29="×","9 ","")&amp;IF(案件管理!$S29="×","11 ","")&amp;IF(案件管理!$T29="×","12 ",""))</f>
        <v/>
      </c>
      <c r="N29" s="31">
        <f>IF(OR($B29="",$B29="—"),"",IF(案件管理!$I29="－","1-1 ","")&amp;IF(案件管理!$J29="－","1-2 ","")&amp;IF(案件管理!$K29="－","1-3 ","")&amp;IF(案件管理!$L29="－","2 ","")&amp;IF(案件管理!$M29="－","3 ","")&amp;IF(案件管理!$N29="－","4 ","")&amp;IF(案件管理!$O29="－","5 ","")&amp;IF(案件管理!$P29="－","8-1 ","")&amp;IF(案件管理!$Q29="－","8-2 ","")&amp;IF(案件管理!$R29="－","9 ","")&amp;IF(案件管理!$S29="－","11 ","")&amp;IF(案件管理!$T29="－","12 ",""))</f>
        <v/>
      </c>
      <c r="O29" s="31">
        <f>IF(OR($B29="",$B29="—"),"",案件管理!$AB29)</f>
        <v/>
      </c>
      <c r="P29" s="17">
        <f>IF(OR($B29="",$B29="—"),"",案件管理!$X29)</f>
        <v/>
      </c>
      <c r="Q29" s="22" t="n"/>
      <c r="R29" s="23" t="n"/>
      <c r="S29" s="20" t="n"/>
      <c r="T29" s="20" t="n"/>
    </row>
    <row r="30">
      <c r="A30" s="30" t="n"/>
      <c r="B30" s="17">
        <f>IF(案件管理!$A30="","",IF(OR($A30="✓",LEFT(案件管理!$U30,2)="A："),"◎ 上申対象",IF(LEFT(案件管理!$U30,2)="B：","△ 要相談","—")))</f>
        <v/>
      </c>
      <c r="C30" s="17">
        <f>IF(OR($B30="",$B30="—"),"",案件管理!$A30)</f>
        <v/>
      </c>
      <c r="D30" s="17">
        <f>IF(OR($B30="",$B30="—"),"",案件管理!$B30)</f>
        <v/>
      </c>
      <c r="E30" s="31">
        <f>IF(OR($B30="",$B30="—"),"",案件管理!$C30)</f>
        <v/>
      </c>
      <c r="F30" s="17">
        <f>IF(OR($B30="",$B30="—"),"",案件管理!$D30)</f>
        <v/>
      </c>
      <c r="G30" s="32">
        <f>IF(OR($B30="",$B30="—"),"",案件管理!$E30)</f>
        <v/>
      </c>
      <c r="H30" s="32">
        <f>IF(OR($B30="",$B30="—"),"",案件管理!$F30)</f>
        <v/>
      </c>
      <c r="I30" s="15">
        <f>IF(OR($B30="",$B30="—"),"",案件管理!$G30)</f>
        <v/>
      </c>
      <c r="J30" s="32">
        <f>IF(OR($B30="",$B30="—"),"",案件管理!$H30)</f>
        <v/>
      </c>
      <c r="K30" s="17">
        <f>IF(OR($B30="",$B30="—"),"",案件管理!$U30)</f>
        <v/>
      </c>
      <c r="L30" s="18">
        <f>IF(OR($B30="",$B30="—"),"",案件管理!$V30)</f>
        <v/>
      </c>
      <c r="M30" s="31">
        <f>IF(OR($B30="",$B30="—"),"",IF(案件管理!$I30="×","1-1 ","")&amp;IF(案件管理!$J30="×","1-2 ","")&amp;IF(案件管理!$K30="×","1-3 ","")&amp;IF(案件管理!$L30="×","2 ","")&amp;IF(案件管理!$M30="×","3 ","")&amp;IF(案件管理!$N30="×","4 ","")&amp;IF(案件管理!$O30="×","5 ","")&amp;IF(案件管理!$P30="×","8-1 ","")&amp;IF(案件管理!$Q30="×","8-2 ","")&amp;IF(案件管理!$R30="×","9 ","")&amp;IF(案件管理!$S30="×","11 ","")&amp;IF(案件管理!$T30="×","12 ",""))</f>
        <v/>
      </c>
      <c r="N30" s="31">
        <f>IF(OR($B30="",$B30="—"),"",IF(案件管理!$I30="－","1-1 ","")&amp;IF(案件管理!$J30="－","1-2 ","")&amp;IF(案件管理!$K30="－","1-3 ","")&amp;IF(案件管理!$L30="－","2 ","")&amp;IF(案件管理!$M30="－","3 ","")&amp;IF(案件管理!$N30="－","4 ","")&amp;IF(案件管理!$O30="－","5 ","")&amp;IF(案件管理!$P30="－","8-1 ","")&amp;IF(案件管理!$Q30="－","8-2 ","")&amp;IF(案件管理!$R30="－","9 ","")&amp;IF(案件管理!$S30="－","11 ","")&amp;IF(案件管理!$T30="－","12 ",""))</f>
        <v/>
      </c>
      <c r="O30" s="31">
        <f>IF(OR($B30="",$B30="—"),"",案件管理!$AB30)</f>
        <v/>
      </c>
      <c r="P30" s="17">
        <f>IF(OR($B30="",$B30="—"),"",案件管理!$X30)</f>
        <v/>
      </c>
      <c r="Q30" s="22" t="n"/>
      <c r="R30" s="23" t="n"/>
      <c r="S30" s="20" t="n"/>
      <c r="T30" s="20" t="n"/>
    </row>
    <row r="31">
      <c r="A31" s="30" t="n"/>
      <c r="B31" s="17">
        <f>IF(案件管理!$A31="","",IF(OR($A31="✓",LEFT(案件管理!$U31,2)="A："),"◎ 上申対象",IF(LEFT(案件管理!$U31,2)="B：","△ 要相談","—")))</f>
        <v/>
      </c>
      <c r="C31" s="17">
        <f>IF(OR($B31="",$B31="—"),"",案件管理!$A31)</f>
        <v/>
      </c>
      <c r="D31" s="17">
        <f>IF(OR($B31="",$B31="—"),"",案件管理!$B31)</f>
        <v/>
      </c>
      <c r="E31" s="31">
        <f>IF(OR($B31="",$B31="—"),"",案件管理!$C31)</f>
        <v/>
      </c>
      <c r="F31" s="17">
        <f>IF(OR($B31="",$B31="—"),"",案件管理!$D31)</f>
        <v/>
      </c>
      <c r="G31" s="32">
        <f>IF(OR($B31="",$B31="—"),"",案件管理!$E31)</f>
        <v/>
      </c>
      <c r="H31" s="32">
        <f>IF(OR($B31="",$B31="—"),"",案件管理!$F31)</f>
        <v/>
      </c>
      <c r="I31" s="15">
        <f>IF(OR($B31="",$B31="—"),"",案件管理!$G31)</f>
        <v/>
      </c>
      <c r="J31" s="32">
        <f>IF(OR($B31="",$B31="—"),"",案件管理!$H31)</f>
        <v/>
      </c>
      <c r="K31" s="17">
        <f>IF(OR($B31="",$B31="—"),"",案件管理!$U31)</f>
        <v/>
      </c>
      <c r="L31" s="18">
        <f>IF(OR($B31="",$B31="—"),"",案件管理!$V31)</f>
        <v/>
      </c>
      <c r="M31" s="31">
        <f>IF(OR($B31="",$B31="—"),"",IF(案件管理!$I31="×","1-1 ","")&amp;IF(案件管理!$J31="×","1-2 ","")&amp;IF(案件管理!$K31="×","1-3 ","")&amp;IF(案件管理!$L31="×","2 ","")&amp;IF(案件管理!$M31="×","3 ","")&amp;IF(案件管理!$N31="×","4 ","")&amp;IF(案件管理!$O31="×","5 ","")&amp;IF(案件管理!$P31="×","8-1 ","")&amp;IF(案件管理!$Q31="×","8-2 ","")&amp;IF(案件管理!$R31="×","9 ","")&amp;IF(案件管理!$S31="×","11 ","")&amp;IF(案件管理!$T31="×","12 ",""))</f>
        <v/>
      </c>
      <c r="N31" s="31">
        <f>IF(OR($B31="",$B31="—"),"",IF(案件管理!$I31="－","1-1 ","")&amp;IF(案件管理!$J31="－","1-2 ","")&amp;IF(案件管理!$K31="－","1-3 ","")&amp;IF(案件管理!$L31="－","2 ","")&amp;IF(案件管理!$M31="－","3 ","")&amp;IF(案件管理!$N31="－","4 ","")&amp;IF(案件管理!$O31="－","5 ","")&amp;IF(案件管理!$P31="－","8-1 ","")&amp;IF(案件管理!$Q31="－","8-2 ","")&amp;IF(案件管理!$R31="－","9 ","")&amp;IF(案件管理!$S31="－","11 ","")&amp;IF(案件管理!$T31="－","12 ",""))</f>
        <v/>
      </c>
      <c r="O31" s="31">
        <f>IF(OR($B31="",$B31="—"),"",案件管理!$AB31)</f>
        <v/>
      </c>
      <c r="P31" s="17">
        <f>IF(OR($B31="",$B31="—"),"",案件管理!$X31)</f>
        <v/>
      </c>
      <c r="Q31" s="22" t="n"/>
      <c r="R31" s="23" t="n"/>
      <c r="S31" s="20" t="n"/>
      <c r="T31" s="20" t="n"/>
    </row>
    <row r="32">
      <c r="A32" s="30" t="n"/>
      <c r="B32" s="17">
        <f>IF(案件管理!$A32="","",IF(OR($A32="✓",LEFT(案件管理!$U32,2)="A："),"◎ 上申対象",IF(LEFT(案件管理!$U32,2)="B：","△ 要相談","—")))</f>
        <v/>
      </c>
      <c r="C32" s="17">
        <f>IF(OR($B32="",$B32="—"),"",案件管理!$A32)</f>
        <v/>
      </c>
      <c r="D32" s="17">
        <f>IF(OR($B32="",$B32="—"),"",案件管理!$B32)</f>
        <v/>
      </c>
      <c r="E32" s="31">
        <f>IF(OR($B32="",$B32="—"),"",案件管理!$C32)</f>
        <v/>
      </c>
      <c r="F32" s="17">
        <f>IF(OR($B32="",$B32="—"),"",案件管理!$D32)</f>
        <v/>
      </c>
      <c r="G32" s="32">
        <f>IF(OR($B32="",$B32="—"),"",案件管理!$E32)</f>
        <v/>
      </c>
      <c r="H32" s="32">
        <f>IF(OR($B32="",$B32="—"),"",案件管理!$F32)</f>
        <v/>
      </c>
      <c r="I32" s="15">
        <f>IF(OR($B32="",$B32="—"),"",案件管理!$G32)</f>
        <v/>
      </c>
      <c r="J32" s="32">
        <f>IF(OR($B32="",$B32="—"),"",案件管理!$H32)</f>
        <v/>
      </c>
      <c r="K32" s="17">
        <f>IF(OR($B32="",$B32="—"),"",案件管理!$U32)</f>
        <v/>
      </c>
      <c r="L32" s="18">
        <f>IF(OR($B32="",$B32="—"),"",案件管理!$V32)</f>
        <v/>
      </c>
      <c r="M32" s="31">
        <f>IF(OR($B32="",$B32="—"),"",IF(案件管理!$I32="×","1-1 ","")&amp;IF(案件管理!$J32="×","1-2 ","")&amp;IF(案件管理!$K32="×","1-3 ","")&amp;IF(案件管理!$L32="×","2 ","")&amp;IF(案件管理!$M32="×","3 ","")&amp;IF(案件管理!$N32="×","4 ","")&amp;IF(案件管理!$O32="×","5 ","")&amp;IF(案件管理!$P32="×","8-1 ","")&amp;IF(案件管理!$Q32="×","8-2 ","")&amp;IF(案件管理!$R32="×","9 ","")&amp;IF(案件管理!$S32="×","11 ","")&amp;IF(案件管理!$T32="×","12 ",""))</f>
        <v/>
      </c>
      <c r="N32" s="31">
        <f>IF(OR($B32="",$B32="—"),"",IF(案件管理!$I32="－","1-1 ","")&amp;IF(案件管理!$J32="－","1-2 ","")&amp;IF(案件管理!$K32="－","1-3 ","")&amp;IF(案件管理!$L32="－","2 ","")&amp;IF(案件管理!$M32="－","3 ","")&amp;IF(案件管理!$N32="－","4 ","")&amp;IF(案件管理!$O32="－","5 ","")&amp;IF(案件管理!$P32="－","8-1 ","")&amp;IF(案件管理!$Q32="－","8-2 ","")&amp;IF(案件管理!$R32="－","9 ","")&amp;IF(案件管理!$S32="－","11 ","")&amp;IF(案件管理!$T32="－","12 ",""))</f>
        <v/>
      </c>
      <c r="O32" s="31">
        <f>IF(OR($B32="",$B32="—"),"",案件管理!$AB32)</f>
        <v/>
      </c>
      <c r="P32" s="17">
        <f>IF(OR($B32="",$B32="—"),"",案件管理!$X32)</f>
        <v/>
      </c>
      <c r="Q32" s="22" t="n"/>
      <c r="R32" s="23" t="n"/>
      <c r="S32" s="20" t="n"/>
      <c r="T32" s="20" t="n"/>
    </row>
    <row r="33">
      <c r="A33" s="30" t="n"/>
      <c r="B33" s="17">
        <f>IF(案件管理!$A33="","",IF(OR($A33="✓",LEFT(案件管理!$U33,2)="A："),"◎ 上申対象",IF(LEFT(案件管理!$U33,2)="B：","△ 要相談","—")))</f>
        <v/>
      </c>
      <c r="C33" s="17">
        <f>IF(OR($B33="",$B33="—"),"",案件管理!$A33)</f>
        <v/>
      </c>
      <c r="D33" s="17">
        <f>IF(OR($B33="",$B33="—"),"",案件管理!$B33)</f>
        <v/>
      </c>
      <c r="E33" s="31">
        <f>IF(OR($B33="",$B33="—"),"",案件管理!$C33)</f>
        <v/>
      </c>
      <c r="F33" s="17">
        <f>IF(OR($B33="",$B33="—"),"",案件管理!$D33)</f>
        <v/>
      </c>
      <c r="G33" s="32">
        <f>IF(OR($B33="",$B33="—"),"",案件管理!$E33)</f>
        <v/>
      </c>
      <c r="H33" s="32">
        <f>IF(OR($B33="",$B33="—"),"",案件管理!$F33)</f>
        <v/>
      </c>
      <c r="I33" s="15">
        <f>IF(OR($B33="",$B33="—"),"",案件管理!$G33)</f>
        <v/>
      </c>
      <c r="J33" s="32">
        <f>IF(OR($B33="",$B33="—"),"",案件管理!$H33)</f>
        <v/>
      </c>
      <c r="K33" s="17">
        <f>IF(OR($B33="",$B33="—"),"",案件管理!$U33)</f>
        <v/>
      </c>
      <c r="L33" s="18">
        <f>IF(OR($B33="",$B33="—"),"",案件管理!$V33)</f>
        <v/>
      </c>
      <c r="M33" s="31">
        <f>IF(OR($B33="",$B33="—"),"",IF(案件管理!$I33="×","1-1 ","")&amp;IF(案件管理!$J33="×","1-2 ","")&amp;IF(案件管理!$K33="×","1-3 ","")&amp;IF(案件管理!$L33="×","2 ","")&amp;IF(案件管理!$M33="×","3 ","")&amp;IF(案件管理!$N33="×","4 ","")&amp;IF(案件管理!$O33="×","5 ","")&amp;IF(案件管理!$P33="×","8-1 ","")&amp;IF(案件管理!$Q33="×","8-2 ","")&amp;IF(案件管理!$R33="×","9 ","")&amp;IF(案件管理!$S33="×","11 ","")&amp;IF(案件管理!$T33="×","12 ",""))</f>
        <v/>
      </c>
      <c r="N33" s="31">
        <f>IF(OR($B33="",$B33="—"),"",IF(案件管理!$I33="－","1-1 ","")&amp;IF(案件管理!$J33="－","1-2 ","")&amp;IF(案件管理!$K33="－","1-3 ","")&amp;IF(案件管理!$L33="－","2 ","")&amp;IF(案件管理!$M33="－","3 ","")&amp;IF(案件管理!$N33="－","4 ","")&amp;IF(案件管理!$O33="－","5 ","")&amp;IF(案件管理!$P33="－","8-1 ","")&amp;IF(案件管理!$Q33="－","8-2 ","")&amp;IF(案件管理!$R33="－","9 ","")&amp;IF(案件管理!$S33="－","11 ","")&amp;IF(案件管理!$T33="－","12 ",""))</f>
        <v/>
      </c>
      <c r="O33" s="31">
        <f>IF(OR($B33="",$B33="—"),"",案件管理!$AB33)</f>
        <v/>
      </c>
      <c r="P33" s="17">
        <f>IF(OR($B33="",$B33="—"),"",案件管理!$X33)</f>
        <v/>
      </c>
      <c r="Q33" s="22" t="n"/>
      <c r="R33" s="23" t="n"/>
      <c r="S33" s="20" t="n"/>
      <c r="T33" s="20" t="n"/>
    </row>
    <row r="34">
      <c r="A34" s="30" t="n"/>
      <c r="B34" s="17">
        <f>IF(案件管理!$A34="","",IF(OR($A34="✓",LEFT(案件管理!$U34,2)="A："),"◎ 上申対象",IF(LEFT(案件管理!$U34,2)="B：","△ 要相談","—")))</f>
        <v/>
      </c>
      <c r="C34" s="17">
        <f>IF(OR($B34="",$B34="—"),"",案件管理!$A34)</f>
        <v/>
      </c>
      <c r="D34" s="17">
        <f>IF(OR($B34="",$B34="—"),"",案件管理!$B34)</f>
        <v/>
      </c>
      <c r="E34" s="31">
        <f>IF(OR($B34="",$B34="—"),"",案件管理!$C34)</f>
        <v/>
      </c>
      <c r="F34" s="17">
        <f>IF(OR($B34="",$B34="—"),"",案件管理!$D34)</f>
        <v/>
      </c>
      <c r="G34" s="32">
        <f>IF(OR($B34="",$B34="—"),"",案件管理!$E34)</f>
        <v/>
      </c>
      <c r="H34" s="32">
        <f>IF(OR($B34="",$B34="—"),"",案件管理!$F34)</f>
        <v/>
      </c>
      <c r="I34" s="15">
        <f>IF(OR($B34="",$B34="—"),"",案件管理!$G34)</f>
        <v/>
      </c>
      <c r="J34" s="32">
        <f>IF(OR($B34="",$B34="—"),"",案件管理!$H34)</f>
        <v/>
      </c>
      <c r="K34" s="17">
        <f>IF(OR($B34="",$B34="—"),"",案件管理!$U34)</f>
        <v/>
      </c>
      <c r="L34" s="18">
        <f>IF(OR($B34="",$B34="—"),"",案件管理!$V34)</f>
        <v/>
      </c>
      <c r="M34" s="31">
        <f>IF(OR($B34="",$B34="—"),"",IF(案件管理!$I34="×","1-1 ","")&amp;IF(案件管理!$J34="×","1-2 ","")&amp;IF(案件管理!$K34="×","1-3 ","")&amp;IF(案件管理!$L34="×","2 ","")&amp;IF(案件管理!$M34="×","3 ","")&amp;IF(案件管理!$N34="×","4 ","")&amp;IF(案件管理!$O34="×","5 ","")&amp;IF(案件管理!$P34="×","8-1 ","")&amp;IF(案件管理!$Q34="×","8-2 ","")&amp;IF(案件管理!$R34="×","9 ","")&amp;IF(案件管理!$S34="×","11 ","")&amp;IF(案件管理!$T34="×","12 ",""))</f>
        <v/>
      </c>
      <c r="N34" s="31">
        <f>IF(OR($B34="",$B34="—"),"",IF(案件管理!$I34="－","1-1 ","")&amp;IF(案件管理!$J34="－","1-2 ","")&amp;IF(案件管理!$K34="－","1-3 ","")&amp;IF(案件管理!$L34="－","2 ","")&amp;IF(案件管理!$M34="－","3 ","")&amp;IF(案件管理!$N34="－","4 ","")&amp;IF(案件管理!$O34="－","5 ","")&amp;IF(案件管理!$P34="－","8-1 ","")&amp;IF(案件管理!$Q34="－","8-2 ","")&amp;IF(案件管理!$R34="－","9 ","")&amp;IF(案件管理!$S34="－","11 ","")&amp;IF(案件管理!$T34="－","12 ",""))</f>
        <v/>
      </c>
      <c r="O34" s="31">
        <f>IF(OR($B34="",$B34="—"),"",案件管理!$AB34)</f>
        <v/>
      </c>
      <c r="P34" s="17">
        <f>IF(OR($B34="",$B34="—"),"",案件管理!$X34)</f>
        <v/>
      </c>
      <c r="Q34" s="22" t="n"/>
      <c r="R34" s="23" t="n"/>
      <c r="S34" s="20" t="n"/>
      <c r="T34" s="20" t="n"/>
    </row>
    <row r="35">
      <c r="A35" s="30" t="n"/>
      <c r="B35" s="17">
        <f>IF(案件管理!$A35="","",IF(OR($A35="✓",LEFT(案件管理!$U35,2)="A："),"◎ 上申対象",IF(LEFT(案件管理!$U35,2)="B：","△ 要相談","—")))</f>
        <v/>
      </c>
      <c r="C35" s="17">
        <f>IF(OR($B35="",$B35="—"),"",案件管理!$A35)</f>
        <v/>
      </c>
      <c r="D35" s="17">
        <f>IF(OR($B35="",$B35="—"),"",案件管理!$B35)</f>
        <v/>
      </c>
      <c r="E35" s="31">
        <f>IF(OR($B35="",$B35="—"),"",案件管理!$C35)</f>
        <v/>
      </c>
      <c r="F35" s="17">
        <f>IF(OR($B35="",$B35="—"),"",案件管理!$D35)</f>
        <v/>
      </c>
      <c r="G35" s="32">
        <f>IF(OR($B35="",$B35="—"),"",案件管理!$E35)</f>
        <v/>
      </c>
      <c r="H35" s="32">
        <f>IF(OR($B35="",$B35="—"),"",案件管理!$F35)</f>
        <v/>
      </c>
      <c r="I35" s="15">
        <f>IF(OR($B35="",$B35="—"),"",案件管理!$G35)</f>
        <v/>
      </c>
      <c r="J35" s="32">
        <f>IF(OR($B35="",$B35="—"),"",案件管理!$H35)</f>
        <v/>
      </c>
      <c r="K35" s="17">
        <f>IF(OR($B35="",$B35="—"),"",案件管理!$U35)</f>
        <v/>
      </c>
      <c r="L35" s="18">
        <f>IF(OR($B35="",$B35="—"),"",案件管理!$V35)</f>
        <v/>
      </c>
      <c r="M35" s="31">
        <f>IF(OR($B35="",$B35="—"),"",IF(案件管理!$I35="×","1-1 ","")&amp;IF(案件管理!$J35="×","1-2 ","")&amp;IF(案件管理!$K35="×","1-3 ","")&amp;IF(案件管理!$L35="×","2 ","")&amp;IF(案件管理!$M35="×","3 ","")&amp;IF(案件管理!$N35="×","4 ","")&amp;IF(案件管理!$O35="×","5 ","")&amp;IF(案件管理!$P35="×","8-1 ","")&amp;IF(案件管理!$Q35="×","8-2 ","")&amp;IF(案件管理!$R35="×","9 ","")&amp;IF(案件管理!$S35="×","11 ","")&amp;IF(案件管理!$T35="×","12 ",""))</f>
        <v/>
      </c>
      <c r="N35" s="31">
        <f>IF(OR($B35="",$B35="—"),"",IF(案件管理!$I35="－","1-1 ","")&amp;IF(案件管理!$J35="－","1-2 ","")&amp;IF(案件管理!$K35="－","1-3 ","")&amp;IF(案件管理!$L35="－","2 ","")&amp;IF(案件管理!$M35="－","3 ","")&amp;IF(案件管理!$N35="－","4 ","")&amp;IF(案件管理!$O35="－","5 ","")&amp;IF(案件管理!$P35="－","8-1 ","")&amp;IF(案件管理!$Q35="－","8-2 ","")&amp;IF(案件管理!$R35="－","9 ","")&amp;IF(案件管理!$S35="－","11 ","")&amp;IF(案件管理!$T35="－","12 ",""))</f>
        <v/>
      </c>
      <c r="O35" s="31">
        <f>IF(OR($B35="",$B35="—"),"",案件管理!$AB35)</f>
        <v/>
      </c>
      <c r="P35" s="17">
        <f>IF(OR($B35="",$B35="—"),"",案件管理!$X35)</f>
        <v/>
      </c>
      <c r="Q35" s="22" t="n"/>
      <c r="R35" s="23" t="n"/>
      <c r="S35" s="20" t="n"/>
      <c r="T35" s="20" t="n"/>
    </row>
    <row r="36">
      <c r="A36" s="30" t="n"/>
      <c r="B36" s="17">
        <f>IF(案件管理!$A36="","",IF(OR($A36="✓",LEFT(案件管理!$U36,2)="A："),"◎ 上申対象",IF(LEFT(案件管理!$U36,2)="B：","△ 要相談","—")))</f>
        <v/>
      </c>
      <c r="C36" s="17">
        <f>IF(OR($B36="",$B36="—"),"",案件管理!$A36)</f>
        <v/>
      </c>
      <c r="D36" s="17">
        <f>IF(OR($B36="",$B36="—"),"",案件管理!$B36)</f>
        <v/>
      </c>
      <c r="E36" s="31">
        <f>IF(OR($B36="",$B36="—"),"",案件管理!$C36)</f>
        <v/>
      </c>
      <c r="F36" s="17">
        <f>IF(OR($B36="",$B36="—"),"",案件管理!$D36)</f>
        <v/>
      </c>
      <c r="G36" s="32">
        <f>IF(OR($B36="",$B36="—"),"",案件管理!$E36)</f>
        <v/>
      </c>
      <c r="H36" s="32">
        <f>IF(OR($B36="",$B36="—"),"",案件管理!$F36)</f>
        <v/>
      </c>
      <c r="I36" s="15">
        <f>IF(OR($B36="",$B36="—"),"",案件管理!$G36)</f>
        <v/>
      </c>
      <c r="J36" s="32">
        <f>IF(OR($B36="",$B36="—"),"",案件管理!$H36)</f>
        <v/>
      </c>
      <c r="K36" s="17">
        <f>IF(OR($B36="",$B36="—"),"",案件管理!$U36)</f>
        <v/>
      </c>
      <c r="L36" s="18">
        <f>IF(OR($B36="",$B36="—"),"",案件管理!$V36)</f>
        <v/>
      </c>
      <c r="M36" s="31">
        <f>IF(OR($B36="",$B36="—"),"",IF(案件管理!$I36="×","1-1 ","")&amp;IF(案件管理!$J36="×","1-2 ","")&amp;IF(案件管理!$K36="×","1-3 ","")&amp;IF(案件管理!$L36="×","2 ","")&amp;IF(案件管理!$M36="×","3 ","")&amp;IF(案件管理!$N36="×","4 ","")&amp;IF(案件管理!$O36="×","5 ","")&amp;IF(案件管理!$P36="×","8-1 ","")&amp;IF(案件管理!$Q36="×","8-2 ","")&amp;IF(案件管理!$R36="×","9 ","")&amp;IF(案件管理!$S36="×","11 ","")&amp;IF(案件管理!$T36="×","12 ",""))</f>
        <v/>
      </c>
      <c r="N36" s="31">
        <f>IF(OR($B36="",$B36="—"),"",IF(案件管理!$I36="－","1-1 ","")&amp;IF(案件管理!$J36="－","1-2 ","")&amp;IF(案件管理!$K36="－","1-3 ","")&amp;IF(案件管理!$L36="－","2 ","")&amp;IF(案件管理!$M36="－","3 ","")&amp;IF(案件管理!$N36="－","4 ","")&amp;IF(案件管理!$O36="－","5 ","")&amp;IF(案件管理!$P36="－","8-1 ","")&amp;IF(案件管理!$Q36="－","8-2 ","")&amp;IF(案件管理!$R36="－","9 ","")&amp;IF(案件管理!$S36="－","11 ","")&amp;IF(案件管理!$T36="－","12 ",""))</f>
        <v/>
      </c>
      <c r="O36" s="31">
        <f>IF(OR($B36="",$B36="—"),"",案件管理!$AB36)</f>
        <v/>
      </c>
      <c r="P36" s="17">
        <f>IF(OR($B36="",$B36="—"),"",案件管理!$X36)</f>
        <v/>
      </c>
      <c r="Q36" s="22" t="n"/>
      <c r="R36" s="23" t="n"/>
      <c r="S36" s="20" t="n"/>
      <c r="T36" s="20" t="n"/>
    </row>
    <row r="37">
      <c r="A37" s="30" t="n"/>
      <c r="B37" s="17">
        <f>IF(案件管理!$A37="","",IF(OR($A37="✓",LEFT(案件管理!$U37,2)="A："),"◎ 上申対象",IF(LEFT(案件管理!$U37,2)="B：","△ 要相談","—")))</f>
        <v/>
      </c>
      <c r="C37" s="17">
        <f>IF(OR($B37="",$B37="—"),"",案件管理!$A37)</f>
        <v/>
      </c>
      <c r="D37" s="17">
        <f>IF(OR($B37="",$B37="—"),"",案件管理!$B37)</f>
        <v/>
      </c>
      <c r="E37" s="31">
        <f>IF(OR($B37="",$B37="—"),"",案件管理!$C37)</f>
        <v/>
      </c>
      <c r="F37" s="17">
        <f>IF(OR($B37="",$B37="—"),"",案件管理!$D37)</f>
        <v/>
      </c>
      <c r="G37" s="32">
        <f>IF(OR($B37="",$B37="—"),"",案件管理!$E37)</f>
        <v/>
      </c>
      <c r="H37" s="32">
        <f>IF(OR($B37="",$B37="—"),"",案件管理!$F37)</f>
        <v/>
      </c>
      <c r="I37" s="15">
        <f>IF(OR($B37="",$B37="—"),"",案件管理!$G37)</f>
        <v/>
      </c>
      <c r="J37" s="32">
        <f>IF(OR($B37="",$B37="—"),"",案件管理!$H37)</f>
        <v/>
      </c>
      <c r="K37" s="17">
        <f>IF(OR($B37="",$B37="—"),"",案件管理!$U37)</f>
        <v/>
      </c>
      <c r="L37" s="18">
        <f>IF(OR($B37="",$B37="—"),"",案件管理!$V37)</f>
        <v/>
      </c>
      <c r="M37" s="31">
        <f>IF(OR($B37="",$B37="—"),"",IF(案件管理!$I37="×","1-1 ","")&amp;IF(案件管理!$J37="×","1-2 ","")&amp;IF(案件管理!$K37="×","1-3 ","")&amp;IF(案件管理!$L37="×","2 ","")&amp;IF(案件管理!$M37="×","3 ","")&amp;IF(案件管理!$N37="×","4 ","")&amp;IF(案件管理!$O37="×","5 ","")&amp;IF(案件管理!$P37="×","8-1 ","")&amp;IF(案件管理!$Q37="×","8-2 ","")&amp;IF(案件管理!$R37="×","9 ","")&amp;IF(案件管理!$S37="×","11 ","")&amp;IF(案件管理!$T37="×","12 ",""))</f>
        <v/>
      </c>
      <c r="N37" s="31">
        <f>IF(OR($B37="",$B37="—"),"",IF(案件管理!$I37="－","1-1 ","")&amp;IF(案件管理!$J37="－","1-2 ","")&amp;IF(案件管理!$K37="－","1-3 ","")&amp;IF(案件管理!$L37="－","2 ","")&amp;IF(案件管理!$M37="－","3 ","")&amp;IF(案件管理!$N37="－","4 ","")&amp;IF(案件管理!$O37="－","5 ","")&amp;IF(案件管理!$P37="－","8-1 ","")&amp;IF(案件管理!$Q37="－","8-2 ","")&amp;IF(案件管理!$R37="－","9 ","")&amp;IF(案件管理!$S37="－","11 ","")&amp;IF(案件管理!$T37="－","12 ",""))</f>
        <v/>
      </c>
      <c r="O37" s="31">
        <f>IF(OR($B37="",$B37="—"),"",案件管理!$AB37)</f>
        <v/>
      </c>
      <c r="P37" s="17">
        <f>IF(OR($B37="",$B37="—"),"",案件管理!$X37)</f>
        <v/>
      </c>
      <c r="Q37" s="22" t="n"/>
      <c r="R37" s="23" t="n"/>
      <c r="S37" s="20" t="n"/>
      <c r="T37" s="20" t="n"/>
    </row>
    <row r="38">
      <c r="A38" s="30" t="n"/>
      <c r="B38" s="17">
        <f>IF(案件管理!$A38="","",IF(OR($A38="✓",LEFT(案件管理!$U38,2)="A："),"◎ 上申対象",IF(LEFT(案件管理!$U38,2)="B：","△ 要相談","—")))</f>
        <v/>
      </c>
      <c r="C38" s="17">
        <f>IF(OR($B38="",$B38="—"),"",案件管理!$A38)</f>
        <v/>
      </c>
      <c r="D38" s="17">
        <f>IF(OR($B38="",$B38="—"),"",案件管理!$B38)</f>
        <v/>
      </c>
      <c r="E38" s="31">
        <f>IF(OR($B38="",$B38="—"),"",案件管理!$C38)</f>
        <v/>
      </c>
      <c r="F38" s="17">
        <f>IF(OR($B38="",$B38="—"),"",案件管理!$D38)</f>
        <v/>
      </c>
      <c r="G38" s="32">
        <f>IF(OR($B38="",$B38="—"),"",案件管理!$E38)</f>
        <v/>
      </c>
      <c r="H38" s="32">
        <f>IF(OR($B38="",$B38="—"),"",案件管理!$F38)</f>
        <v/>
      </c>
      <c r="I38" s="15">
        <f>IF(OR($B38="",$B38="—"),"",案件管理!$G38)</f>
        <v/>
      </c>
      <c r="J38" s="32">
        <f>IF(OR($B38="",$B38="—"),"",案件管理!$H38)</f>
        <v/>
      </c>
      <c r="K38" s="17">
        <f>IF(OR($B38="",$B38="—"),"",案件管理!$U38)</f>
        <v/>
      </c>
      <c r="L38" s="18">
        <f>IF(OR($B38="",$B38="—"),"",案件管理!$V38)</f>
        <v/>
      </c>
      <c r="M38" s="31">
        <f>IF(OR($B38="",$B38="—"),"",IF(案件管理!$I38="×","1-1 ","")&amp;IF(案件管理!$J38="×","1-2 ","")&amp;IF(案件管理!$K38="×","1-3 ","")&amp;IF(案件管理!$L38="×","2 ","")&amp;IF(案件管理!$M38="×","3 ","")&amp;IF(案件管理!$N38="×","4 ","")&amp;IF(案件管理!$O38="×","5 ","")&amp;IF(案件管理!$P38="×","8-1 ","")&amp;IF(案件管理!$Q38="×","8-2 ","")&amp;IF(案件管理!$R38="×","9 ","")&amp;IF(案件管理!$S38="×","11 ","")&amp;IF(案件管理!$T38="×","12 ",""))</f>
        <v/>
      </c>
      <c r="N38" s="31">
        <f>IF(OR($B38="",$B38="—"),"",IF(案件管理!$I38="－","1-1 ","")&amp;IF(案件管理!$J38="－","1-2 ","")&amp;IF(案件管理!$K38="－","1-3 ","")&amp;IF(案件管理!$L38="－","2 ","")&amp;IF(案件管理!$M38="－","3 ","")&amp;IF(案件管理!$N38="－","4 ","")&amp;IF(案件管理!$O38="－","5 ","")&amp;IF(案件管理!$P38="－","8-1 ","")&amp;IF(案件管理!$Q38="－","8-2 ","")&amp;IF(案件管理!$R38="－","9 ","")&amp;IF(案件管理!$S38="－","11 ","")&amp;IF(案件管理!$T38="－","12 ",""))</f>
        <v/>
      </c>
      <c r="O38" s="31">
        <f>IF(OR($B38="",$B38="—"),"",案件管理!$AB38)</f>
        <v/>
      </c>
      <c r="P38" s="17">
        <f>IF(OR($B38="",$B38="—"),"",案件管理!$X38)</f>
        <v/>
      </c>
      <c r="Q38" s="22" t="n"/>
      <c r="R38" s="23" t="n"/>
      <c r="S38" s="20" t="n"/>
      <c r="T38" s="20" t="n"/>
    </row>
    <row r="39">
      <c r="A39" s="30" t="n"/>
      <c r="B39" s="17">
        <f>IF(案件管理!$A39="","",IF(OR($A39="✓",LEFT(案件管理!$U39,2)="A："),"◎ 上申対象",IF(LEFT(案件管理!$U39,2)="B：","△ 要相談","—")))</f>
        <v/>
      </c>
      <c r="C39" s="17">
        <f>IF(OR($B39="",$B39="—"),"",案件管理!$A39)</f>
        <v/>
      </c>
      <c r="D39" s="17">
        <f>IF(OR($B39="",$B39="—"),"",案件管理!$B39)</f>
        <v/>
      </c>
      <c r="E39" s="31">
        <f>IF(OR($B39="",$B39="—"),"",案件管理!$C39)</f>
        <v/>
      </c>
      <c r="F39" s="17">
        <f>IF(OR($B39="",$B39="—"),"",案件管理!$D39)</f>
        <v/>
      </c>
      <c r="G39" s="32">
        <f>IF(OR($B39="",$B39="—"),"",案件管理!$E39)</f>
        <v/>
      </c>
      <c r="H39" s="32">
        <f>IF(OR($B39="",$B39="—"),"",案件管理!$F39)</f>
        <v/>
      </c>
      <c r="I39" s="15">
        <f>IF(OR($B39="",$B39="—"),"",案件管理!$G39)</f>
        <v/>
      </c>
      <c r="J39" s="32">
        <f>IF(OR($B39="",$B39="—"),"",案件管理!$H39)</f>
        <v/>
      </c>
      <c r="K39" s="17">
        <f>IF(OR($B39="",$B39="—"),"",案件管理!$U39)</f>
        <v/>
      </c>
      <c r="L39" s="18">
        <f>IF(OR($B39="",$B39="—"),"",案件管理!$V39)</f>
        <v/>
      </c>
      <c r="M39" s="31">
        <f>IF(OR($B39="",$B39="—"),"",IF(案件管理!$I39="×","1-1 ","")&amp;IF(案件管理!$J39="×","1-2 ","")&amp;IF(案件管理!$K39="×","1-3 ","")&amp;IF(案件管理!$L39="×","2 ","")&amp;IF(案件管理!$M39="×","3 ","")&amp;IF(案件管理!$N39="×","4 ","")&amp;IF(案件管理!$O39="×","5 ","")&amp;IF(案件管理!$P39="×","8-1 ","")&amp;IF(案件管理!$Q39="×","8-2 ","")&amp;IF(案件管理!$R39="×","9 ","")&amp;IF(案件管理!$S39="×","11 ","")&amp;IF(案件管理!$T39="×","12 ",""))</f>
        <v/>
      </c>
      <c r="N39" s="31">
        <f>IF(OR($B39="",$B39="—"),"",IF(案件管理!$I39="－","1-1 ","")&amp;IF(案件管理!$J39="－","1-2 ","")&amp;IF(案件管理!$K39="－","1-3 ","")&amp;IF(案件管理!$L39="－","2 ","")&amp;IF(案件管理!$M39="－","3 ","")&amp;IF(案件管理!$N39="－","4 ","")&amp;IF(案件管理!$O39="－","5 ","")&amp;IF(案件管理!$P39="－","8-1 ","")&amp;IF(案件管理!$Q39="－","8-2 ","")&amp;IF(案件管理!$R39="－","9 ","")&amp;IF(案件管理!$S39="－","11 ","")&amp;IF(案件管理!$T39="－","12 ",""))</f>
        <v/>
      </c>
      <c r="O39" s="31">
        <f>IF(OR($B39="",$B39="—"),"",案件管理!$AB39)</f>
        <v/>
      </c>
      <c r="P39" s="17">
        <f>IF(OR($B39="",$B39="—"),"",案件管理!$X39)</f>
        <v/>
      </c>
      <c r="Q39" s="22" t="n"/>
      <c r="R39" s="23" t="n"/>
      <c r="S39" s="20" t="n"/>
      <c r="T39" s="20" t="n"/>
    </row>
    <row r="40">
      <c r="A40" s="30" t="n"/>
      <c r="B40" s="17">
        <f>IF(案件管理!$A40="","",IF(OR($A40="✓",LEFT(案件管理!$U40,2)="A："),"◎ 上申対象",IF(LEFT(案件管理!$U40,2)="B：","△ 要相談","—")))</f>
        <v/>
      </c>
      <c r="C40" s="17">
        <f>IF(OR($B40="",$B40="—"),"",案件管理!$A40)</f>
        <v/>
      </c>
      <c r="D40" s="17">
        <f>IF(OR($B40="",$B40="—"),"",案件管理!$B40)</f>
        <v/>
      </c>
      <c r="E40" s="31">
        <f>IF(OR($B40="",$B40="—"),"",案件管理!$C40)</f>
        <v/>
      </c>
      <c r="F40" s="17">
        <f>IF(OR($B40="",$B40="—"),"",案件管理!$D40)</f>
        <v/>
      </c>
      <c r="G40" s="32">
        <f>IF(OR($B40="",$B40="—"),"",案件管理!$E40)</f>
        <v/>
      </c>
      <c r="H40" s="32">
        <f>IF(OR($B40="",$B40="—"),"",案件管理!$F40)</f>
        <v/>
      </c>
      <c r="I40" s="15">
        <f>IF(OR($B40="",$B40="—"),"",案件管理!$G40)</f>
        <v/>
      </c>
      <c r="J40" s="32">
        <f>IF(OR($B40="",$B40="—"),"",案件管理!$H40)</f>
        <v/>
      </c>
      <c r="K40" s="17">
        <f>IF(OR($B40="",$B40="—"),"",案件管理!$U40)</f>
        <v/>
      </c>
      <c r="L40" s="18">
        <f>IF(OR($B40="",$B40="—"),"",案件管理!$V40)</f>
        <v/>
      </c>
      <c r="M40" s="31">
        <f>IF(OR($B40="",$B40="—"),"",IF(案件管理!$I40="×","1-1 ","")&amp;IF(案件管理!$J40="×","1-2 ","")&amp;IF(案件管理!$K40="×","1-3 ","")&amp;IF(案件管理!$L40="×","2 ","")&amp;IF(案件管理!$M40="×","3 ","")&amp;IF(案件管理!$N40="×","4 ","")&amp;IF(案件管理!$O40="×","5 ","")&amp;IF(案件管理!$P40="×","8-1 ","")&amp;IF(案件管理!$Q40="×","8-2 ","")&amp;IF(案件管理!$R40="×","9 ","")&amp;IF(案件管理!$S40="×","11 ","")&amp;IF(案件管理!$T40="×","12 ",""))</f>
        <v/>
      </c>
      <c r="N40" s="31">
        <f>IF(OR($B40="",$B40="—"),"",IF(案件管理!$I40="－","1-1 ","")&amp;IF(案件管理!$J40="－","1-2 ","")&amp;IF(案件管理!$K40="－","1-3 ","")&amp;IF(案件管理!$L40="－","2 ","")&amp;IF(案件管理!$M40="－","3 ","")&amp;IF(案件管理!$N40="－","4 ","")&amp;IF(案件管理!$O40="－","5 ","")&amp;IF(案件管理!$P40="－","8-1 ","")&amp;IF(案件管理!$Q40="－","8-2 ","")&amp;IF(案件管理!$R40="－","9 ","")&amp;IF(案件管理!$S40="－","11 ","")&amp;IF(案件管理!$T40="－","12 ",""))</f>
        <v/>
      </c>
      <c r="O40" s="31">
        <f>IF(OR($B40="",$B40="—"),"",案件管理!$AB40)</f>
        <v/>
      </c>
      <c r="P40" s="17">
        <f>IF(OR($B40="",$B40="—"),"",案件管理!$X40)</f>
        <v/>
      </c>
      <c r="Q40" s="22" t="n"/>
      <c r="R40" s="23" t="n"/>
      <c r="S40" s="20" t="n"/>
      <c r="T40" s="20" t="n"/>
    </row>
    <row r="41">
      <c r="A41" s="30" t="n"/>
      <c r="B41" s="17">
        <f>IF(案件管理!$A41="","",IF(OR($A41="✓",LEFT(案件管理!$U41,2)="A："),"◎ 上申対象",IF(LEFT(案件管理!$U41,2)="B：","△ 要相談","—")))</f>
        <v/>
      </c>
      <c r="C41" s="17">
        <f>IF(OR($B41="",$B41="—"),"",案件管理!$A41)</f>
        <v/>
      </c>
      <c r="D41" s="17">
        <f>IF(OR($B41="",$B41="—"),"",案件管理!$B41)</f>
        <v/>
      </c>
      <c r="E41" s="31">
        <f>IF(OR($B41="",$B41="—"),"",案件管理!$C41)</f>
        <v/>
      </c>
      <c r="F41" s="17">
        <f>IF(OR($B41="",$B41="—"),"",案件管理!$D41)</f>
        <v/>
      </c>
      <c r="G41" s="32">
        <f>IF(OR($B41="",$B41="—"),"",案件管理!$E41)</f>
        <v/>
      </c>
      <c r="H41" s="32">
        <f>IF(OR($B41="",$B41="—"),"",案件管理!$F41)</f>
        <v/>
      </c>
      <c r="I41" s="15">
        <f>IF(OR($B41="",$B41="—"),"",案件管理!$G41)</f>
        <v/>
      </c>
      <c r="J41" s="32">
        <f>IF(OR($B41="",$B41="—"),"",案件管理!$H41)</f>
        <v/>
      </c>
      <c r="K41" s="17">
        <f>IF(OR($B41="",$B41="—"),"",案件管理!$U41)</f>
        <v/>
      </c>
      <c r="L41" s="18">
        <f>IF(OR($B41="",$B41="—"),"",案件管理!$V41)</f>
        <v/>
      </c>
      <c r="M41" s="31">
        <f>IF(OR($B41="",$B41="—"),"",IF(案件管理!$I41="×","1-1 ","")&amp;IF(案件管理!$J41="×","1-2 ","")&amp;IF(案件管理!$K41="×","1-3 ","")&amp;IF(案件管理!$L41="×","2 ","")&amp;IF(案件管理!$M41="×","3 ","")&amp;IF(案件管理!$N41="×","4 ","")&amp;IF(案件管理!$O41="×","5 ","")&amp;IF(案件管理!$P41="×","8-1 ","")&amp;IF(案件管理!$Q41="×","8-2 ","")&amp;IF(案件管理!$R41="×","9 ","")&amp;IF(案件管理!$S41="×","11 ","")&amp;IF(案件管理!$T41="×","12 ",""))</f>
        <v/>
      </c>
      <c r="N41" s="31">
        <f>IF(OR($B41="",$B41="—"),"",IF(案件管理!$I41="－","1-1 ","")&amp;IF(案件管理!$J41="－","1-2 ","")&amp;IF(案件管理!$K41="－","1-3 ","")&amp;IF(案件管理!$L41="－","2 ","")&amp;IF(案件管理!$M41="－","3 ","")&amp;IF(案件管理!$N41="－","4 ","")&amp;IF(案件管理!$O41="－","5 ","")&amp;IF(案件管理!$P41="－","8-1 ","")&amp;IF(案件管理!$Q41="－","8-2 ","")&amp;IF(案件管理!$R41="－","9 ","")&amp;IF(案件管理!$S41="－","11 ","")&amp;IF(案件管理!$T41="－","12 ",""))</f>
        <v/>
      </c>
      <c r="O41" s="31">
        <f>IF(OR($B41="",$B41="—"),"",案件管理!$AB41)</f>
        <v/>
      </c>
      <c r="P41" s="17">
        <f>IF(OR($B41="",$B41="—"),"",案件管理!$X41)</f>
        <v/>
      </c>
      <c r="Q41" s="22" t="n"/>
      <c r="R41" s="23" t="n"/>
      <c r="S41" s="20" t="n"/>
      <c r="T41" s="20" t="n"/>
    </row>
    <row r="42">
      <c r="A42" s="30" t="n"/>
      <c r="B42" s="17">
        <f>IF(案件管理!$A42="","",IF(OR($A42="✓",LEFT(案件管理!$U42,2)="A："),"◎ 上申対象",IF(LEFT(案件管理!$U42,2)="B：","△ 要相談","—")))</f>
        <v/>
      </c>
      <c r="C42" s="17">
        <f>IF(OR($B42="",$B42="—"),"",案件管理!$A42)</f>
        <v/>
      </c>
      <c r="D42" s="17">
        <f>IF(OR($B42="",$B42="—"),"",案件管理!$B42)</f>
        <v/>
      </c>
      <c r="E42" s="31">
        <f>IF(OR($B42="",$B42="—"),"",案件管理!$C42)</f>
        <v/>
      </c>
      <c r="F42" s="17">
        <f>IF(OR($B42="",$B42="—"),"",案件管理!$D42)</f>
        <v/>
      </c>
      <c r="G42" s="32">
        <f>IF(OR($B42="",$B42="—"),"",案件管理!$E42)</f>
        <v/>
      </c>
      <c r="H42" s="32">
        <f>IF(OR($B42="",$B42="—"),"",案件管理!$F42)</f>
        <v/>
      </c>
      <c r="I42" s="15">
        <f>IF(OR($B42="",$B42="—"),"",案件管理!$G42)</f>
        <v/>
      </c>
      <c r="J42" s="32">
        <f>IF(OR($B42="",$B42="—"),"",案件管理!$H42)</f>
        <v/>
      </c>
      <c r="K42" s="17">
        <f>IF(OR($B42="",$B42="—"),"",案件管理!$U42)</f>
        <v/>
      </c>
      <c r="L42" s="18">
        <f>IF(OR($B42="",$B42="—"),"",案件管理!$V42)</f>
        <v/>
      </c>
      <c r="M42" s="31">
        <f>IF(OR($B42="",$B42="—"),"",IF(案件管理!$I42="×","1-1 ","")&amp;IF(案件管理!$J42="×","1-2 ","")&amp;IF(案件管理!$K42="×","1-3 ","")&amp;IF(案件管理!$L42="×","2 ","")&amp;IF(案件管理!$M42="×","3 ","")&amp;IF(案件管理!$N42="×","4 ","")&amp;IF(案件管理!$O42="×","5 ","")&amp;IF(案件管理!$P42="×","8-1 ","")&amp;IF(案件管理!$Q42="×","8-2 ","")&amp;IF(案件管理!$R42="×","9 ","")&amp;IF(案件管理!$S42="×","11 ","")&amp;IF(案件管理!$T42="×","12 ",""))</f>
        <v/>
      </c>
      <c r="N42" s="31">
        <f>IF(OR($B42="",$B42="—"),"",IF(案件管理!$I42="－","1-1 ","")&amp;IF(案件管理!$J42="－","1-2 ","")&amp;IF(案件管理!$K42="－","1-3 ","")&amp;IF(案件管理!$L42="－","2 ","")&amp;IF(案件管理!$M42="－","3 ","")&amp;IF(案件管理!$N42="－","4 ","")&amp;IF(案件管理!$O42="－","5 ","")&amp;IF(案件管理!$P42="－","8-1 ","")&amp;IF(案件管理!$Q42="－","8-2 ","")&amp;IF(案件管理!$R42="－","9 ","")&amp;IF(案件管理!$S42="－","11 ","")&amp;IF(案件管理!$T42="－","12 ",""))</f>
        <v/>
      </c>
      <c r="O42" s="31">
        <f>IF(OR($B42="",$B42="—"),"",案件管理!$AB42)</f>
        <v/>
      </c>
      <c r="P42" s="17">
        <f>IF(OR($B42="",$B42="—"),"",案件管理!$X42)</f>
        <v/>
      </c>
      <c r="Q42" s="22" t="n"/>
      <c r="R42" s="23" t="n"/>
      <c r="S42" s="20" t="n"/>
      <c r="T42" s="20" t="n"/>
    </row>
    <row r="43">
      <c r="A43" s="30" t="n"/>
      <c r="B43" s="17">
        <f>IF(案件管理!$A43="","",IF(OR($A43="✓",LEFT(案件管理!$U43,2)="A："),"◎ 上申対象",IF(LEFT(案件管理!$U43,2)="B：","△ 要相談","—")))</f>
        <v/>
      </c>
      <c r="C43" s="17">
        <f>IF(OR($B43="",$B43="—"),"",案件管理!$A43)</f>
        <v/>
      </c>
      <c r="D43" s="17">
        <f>IF(OR($B43="",$B43="—"),"",案件管理!$B43)</f>
        <v/>
      </c>
      <c r="E43" s="31">
        <f>IF(OR($B43="",$B43="—"),"",案件管理!$C43)</f>
        <v/>
      </c>
      <c r="F43" s="17">
        <f>IF(OR($B43="",$B43="—"),"",案件管理!$D43)</f>
        <v/>
      </c>
      <c r="G43" s="32">
        <f>IF(OR($B43="",$B43="—"),"",案件管理!$E43)</f>
        <v/>
      </c>
      <c r="H43" s="32">
        <f>IF(OR($B43="",$B43="—"),"",案件管理!$F43)</f>
        <v/>
      </c>
      <c r="I43" s="15">
        <f>IF(OR($B43="",$B43="—"),"",案件管理!$G43)</f>
        <v/>
      </c>
      <c r="J43" s="32">
        <f>IF(OR($B43="",$B43="—"),"",案件管理!$H43)</f>
        <v/>
      </c>
      <c r="K43" s="17">
        <f>IF(OR($B43="",$B43="—"),"",案件管理!$U43)</f>
        <v/>
      </c>
      <c r="L43" s="18">
        <f>IF(OR($B43="",$B43="—"),"",案件管理!$V43)</f>
        <v/>
      </c>
      <c r="M43" s="31">
        <f>IF(OR($B43="",$B43="—"),"",IF(案件管理!$I43="×","1-1 ","")&amp;IF(案件管理!$J43="×","1-2 ","")&amp;IF(案件管理!$K43="×","1-3 ","")&amp;IF(案件管理!$L43="×","2 ","")&amp;IF(案件管理!$M43="×","3 ","")&amp;IF(案件管理!$N43="×","4 ","")&amp;IF(案件管理!$O43="×","5 ","")&amp;IF(案件管理!$P43="×","8-1 ","")&amp;IF(案件管理!$Q43="×","8-2 ","")&amp;IF(案件管理!$R43="×","9 ","")&amp;IF(案件管理!$S43="×","11 ","")&amp;IF(案件管理!$T43="×","12 ",""))</f>
        <v/>
      </c>
      <c r="N43" s="31">
        <f>IF(OR($B43="",$B43="—"),"",IF(案件管理!$I43="－","1-1 ","")&amp;IF(案件管理!$J43="－","1-2 ","")&amp;IF(案件管理!$K43="－","1-3 ","")&amp;IF(案件管理!$L43="－","2 ","")&amp;IF(案件管理!$M43="－","3 ","")&amp;IF(案件管理!$N43="－","4 ","")&amp;IF(案件管理!$O43="－","5 ","")&amp;IF(案件管理!$P43="－","8-1 ","")&amp;IF(案件管理!$Q43="－","8-2 ","")&amp;IF(案件管理!$R43="－","9 ","")&amp;IF(案件管理!$S43="－","11 ","")&amp;IF(案件管理!$T43="－","12 ",""))</f>
        <v/>
      </c>
      <c r="O43" s="31">
        <f>IF(OR($B43="",$B43="—"),"",案件管理!$AB43)</f>
        <v/>
      </c>
      <c r="P43" s="17">
        <f>IF(OR($B43="",$B43="—"),"",案件管理!$X43)</f>
        <v/>
      </c>
      <c r="Q43" s="22" t="n"/>
      <c r="R43" s="23" t="n"/>
      <c r="S43" s="20" t="n"/>
      <c r="T43" s="20" t="n"/>
    </row>
    <row r="44">
      <c r="A44" s="30" t="n"/>
      <c r="B44" s="17">
        <f>IF(案件管理!$A44="","",IF(OR($A44="✓",LEFT(案件管理!$U44,2)="A："),"◎ 上申対象",IF(LEFT(案件管理!$U44,2)="B：","△ 要相談","—")))</f>
        <v/>
      </c>
      <c r="C44" s="17">
        <f>IF(OR($B44="",$B44="—"),"",案件管理!$A44)</f>
        <v/>
      </c>
      <c r="D44" s="17">
        <f>IF(OR($B44="",$B44="—"),"",案件管理!$B44)</f>
        <v/>
      </c>
      <c r="E44" s="31">
        <f>IF(OR($B44="",$B44="—"),"",案件管理!$C44)</f>
        <v/>
      </c>
      <c r="F44" s="17">
        <f>IF(OR($B44="",$B44="—"),"",案件管理!$D44)</f>
        <v/>
      </c>
      <c r="G44" s="32">
        <f>IF(OR($B44="",$B44="—"),"",案件管理!$E44)</f>
        <v/>
      </c>
      <c r="H44" s="32">
        <f>IF(OR($B44="",$B44="—"),"",案件管理!$F44)</f>
        <v/>
      </c>
      <c r="I44" s="15">
        <f>IF(OR($B44="",$B44="—"),"",案件管理!$G44)</f>
        <v/>
      </c>
      <c r="J44" s="32">
        <f>IF(OR($B44="",$B44="—"),"",案件管理!$H44)</f>
        <v/>
      </c>
      <c r="K44" s="17">
        <f>IF(OR($B44="",$B44="—"),"",案件管理!$U44)</f>
        <v/>
      </c>
      <c r="L44" s="18">
        <f>IF(OR($B44="",$B44="—"),"",案件管理!$V44)</f>
        <v/>
      </c>
      <c r="M44" s="31">
        <f>IF(OR($B44="",$B44="—"),"",IF(案件管理!$I44="×","1-1 ","")&amp;IF(案件管理!$J44="×","1-2 ","")&amp;IF(案件管理!$K44="×","1-3 ","")&amp;IF(案件管理!$L44="×","2 ","")&amp;IF(案件管理!$M44="×","3 ","")&amp;IF(案件管理!$N44="×","4 ","")&amp;IF(案件管理!$O44="×","5 ","")&amp;IF(案件管理!$P44="×","8-1 ","")&amp;IF(案件管理!$Q44="×","8-2 ","")&amp;IF(案件管理!$R44="×","9 ","")&amp;IF(案件管理!$S44="×","11 ","")&amp;IF(案件管理!$T44="×","12 ",""))</f>
        <v/>
      </c>
      <c r="N44" s="31">
        <f>IF(OR($B44="",$B44="—"),"",IF(案件管理!$I44="－","1-1 ","")&amp;IF(案件管理!$J44="－","1-2 ","")&amp;IF(案件管理!$K44="－","1-3 ","")&amp;IF(案件管理!$L44="－","2 ","")&amp;IF(案件管理!$M44="－","3 ","")&amp;IF(案件管理!$N44="－","4 ","")&amp;IF(案件管理!$O44="－","5 ","")&amp;IF(案件管理!$P44="－","8-1 ","")&amp;IF(案件管理!$Q44="－","8-2 ","")&amp;IF(案件管理!$R44="－","9 ","")&amp;IF(案件管理!$S44="－","11 ","")&amp;IF(案件管理!$T44="－","12 ",""))</f>
        <v/>
      </c>
      <c r="O44" s="31">
        <f>IF(OR($B44="",$B44="—"),"",案件管理!$AB44)</f>
        <v/>
      </c>
      <c r="P44" s="17">
        <f>IF(OR($B44="",$B44="—"),"",案件管理!$X44)</f>
        <v/>
      </c>
      <c r="Q44" s="22" t="n"/>
      <c r="R44" s="23" t="n"/>
      <c r="S44" s="20" t="n"/>
      <c r="T44" s="20" t="n"/>
    </row>
    <row r="45">
      <c r="A45" s="30" t="n"/>
      <c r="B45" s="17">
        <f>IF(案件管理!$A45="","",IF(OR($A45="✓",LEFT(案件管理!$U45,2)="A："),"◎ 上申対象",IF(LEFT(案件管理!$U45,2)="B：","△ 要相談","—")))</f>
        <v/>
      </c>
      <c r="C45" s="17">
        <f>IF(OR($B45="",$B45="—"),"",案件管理!$A45)</f>
        <v/>
      </c>
      <c r="D45" s="17">
        <f>IF(OR($B45="",$B45="—"),"",案件管理!$B45)</f>
        <v/>
      </c>
      <c r="E45" s="31">
        <f>IF(OR($B45="",$B45="—"),"",案件管理!$C45)</f>
        <v/>
      </c>
      <c r="F45" s="17">
        <f>IF(OR($B45="",$B45="—"),"",案件管理!$D45)</f>
        <v/>
      </c>
      <c r="G45" s="32">
        <f>IF(OR($B45="",$B45="—"),"",案件管理!$E45)</f>
        <v/>
      </c>
      <c r="H45" s="32">
        <f>IF(OR($B45="",$B45="—"),"",案件管理!$F45)</f>
        <v/>
      </c>
      <c r="I45" s="15">
        <f>IF(OR($B45="",$B45="—"),"",案件管理!$G45)</f>
        <v/>
      </c>
      <c r="J45" s="32">
        <f>IF(OR($B45="",$B45="—"),"",案件管理!$H45)</f>
        <v/>
      </c>
      <c r="K45" s="17">
        <f>IF(OR($B45="",$B45="—"),"",案件管理!$U45)</f>
        <v/>
      </c>
      <c r="L45" s="18">
        <f>IF(OR($B45="",$B45="—"),"",案件管理!$V45)</f>
        <v/>
      </c>
      <c r="M45" s="31">
        <f>IF(OR($B45="",$B45="—"),"",IF(案件管理!$I45="×","1-1 ","")&amp;IF(案件管理!$J45="×","1-2 ","")&amp;IF(案件管理!$K45="×","1-3 ","")&amp;IF(案件管理!$L45="×","2 ","")&amp;IF(案件管理!$M45="×","3 ","")&amp;IF(案件管理!$N45="×","4 ","")&amp;IF(案件管理!$O45="×","5 ","")&amp;IF(案件管理!$P45="×","8-1 ","")&amp;IF(案件管理!$Q45="×","8-2 ","")&amp;IF(案件管理!$R45="×","9 ","")&amp;IF(案件管理!$S45="×","11 ","")&amp;IF(案件管理!$T45="×","12 ",""))</f>
        <v/>
      </c>
      <c r="N45" s="31">
        <f>IF(OR($B45="",$B45="—"),"",IF(案件管理!$I45="－","1-1 ","")&amp;IF(案件管理!$J45="－","1-2 ","")&amp;IF(案件管理!$K45="－","1-3 ","")&amp;IF(案件管理!$L45="－","2 ","")&amp;IF(案件管理!$M45="－","3 ","")&amp;IF(案件管理!$N45="－","4 ","")&amp;IF(案件管理!$O45="－","5 ","")&amp;IF(案件管理!$P45="－","8-1 ","")&amp;IF(案件管理!$Q45="－","8-2 ","")&amp;IF(案件管理!$R45="－","9 ","")&amp;IF(案件管理!$S45="－","11 ","")&amp;IF(案件管理!$T45="－","12 ",""))</f>
        <v/>
      </c>
      <c r="O45" s="31">
        <f>IF(OR($B45="",$B45="—"),"",案件管理!$AB45)</f>
        <v/>
      </c>
      <c r="P45" s="17">
        <f>IF(OR($B45="",$B45="—"),"",案件管理!$X45)</f>
        <v/>
      </c>
      <c r="Q45" s="22" t="n"/>
      <c r="R45" s="23" t="n"/>
      <c r="S45" s="20" t="n"/>
      <c r="T45" s="20" t="n"/>
    </row>
    <row r="46">
      <c r="A46" s="30" t="n"/>
      <c r="B46" s="17">
        <f>IF(案件管理!$A46="","",IF(OR($A46="✓",LEFT(案件管理!$U46,2)="A："),"◎ 上申対象",IF(LEFT(案件管理!$U46,2)="B：","△ 要相談","—")))</f>
        <v/>
      </c>
      <c r="C46" s="17">
        <f>IF(OR($B46="",$B46="—"),"",案件管理!$A46)</f>
        <v/>
      </c>
      <c r="D46" s="17">
        <f>IF(OR($B46="",$B46="—"),"",案件管理!$B46)</f>
        <v/>
      </c>
      <c r="E46" s="31">
        <f>IF(OR($B46="",$B46="—"),"",案件管理!$C46)</f>
        <v/>
      </c>
      <c r="F46" s="17">
        <f>IF(OR($B46="",$B46="—"),"",案件管理!$D46)</f>
        <v/>
      </c>
      <c r="G46" s="32">
        <f>IF(OR($B46="",$B46="—"),"",案件管理!$E46)</f>
        <v/>
      </c>
      <c r="H46" s="32">
        <f>IF(OR($B46="",$B46="—"),"",案件管理!$F46)</f>
        <v/>
      </c>
      <c r="I46" s="15">
        <f>IF(OR($B46="",$B46="—"),"",案件管理!$G46)</f>
        <v/>
      </c>
      <c r="J46" s="32">
        <f>IF(OR($B46="",$B46="—"),"",案件管理!$H46)</f>
        <v/>
      </c>
      <c r="K46" s="17">
        <f>IF(OR($B46="",$B46="—"),"",案件管理!$U46)</f>
        <v/>
      </c>
      <c r="L46" s="18">
        <f>IF(OR($B46="",$B46="—"),"",案件管理!$V46)</f>
        <v/>
      </c>
      <c r="M46" s="31">
        <f>IF(OR($B46="",$B46="—"),"",IF(案件管理!$I46="×","1-1 ","")&amp;IF(案件管理!$J46="×","1-2 ","")&amp;IF(案件管理!$K46="×","1-3 ","")&amp;IF(案件管理!$L46="×","2 ","")&amp;IF(案件管理!$M46="×","3 ","")&amp;IF(案件管理!$N46="×","4 ","")&amp;IF(案件管理!$O46="×","5 ","")&amp;IF(案件管理!$P46="×","8-1 ","")&amp;IF(案件管理!$Q46="×","8-2 ","")&amp;IF(案件管理!$R46="×","9 ","")&amp;IF(案件管理!$S46="×","11 ","")&amp;IF(案件管理!$T46="×","12 ",""))</f>
        <v/>
      </c>
      <c r="N46" s="31">
        <f>IF(OR($B46="",$B46="—"),"",IF(案件管理!$I46="－","1-1 ","")&amp;IF(案件管理!$J46="－","1-2 ","")&amp;IF(案件管理!$K46="－","1-3 ","")&amp;IF(案件管理!$L46="－","2 ","")&amp;IF(案件管理!$M46="－","3 ","")&amp;IF(案件管理!$N46="－","4 ","")&amp;IF(案件管理!$O46="－","5 ","")&amp;IF(案件管理!$P46="－","8-1 ","")&amp;IF(案件管理!$Q46="－","8-2 ","")&amp;IF(案件管理!$R46="－","9 ","")&amp;IF(案件管理!$S46="－","11 ","")&amp;IF(案件管理!$T46="－","12 ",""))</f>
        <v/>
      </c>
      <c r="O46" s="31">
        <f>IF(OR($B46="",$B46="—"),"",案件管理!$AB46)</f>
        <v/>
      </c>
      <c r="P46" s="17">
        <f>IF(OR($B46="",$B46="—"),"",案件管理!$X46)</f>
        <v/>
      </c>
      <c r="Q46" s="22" t="n"/>
      <c r="R46" s="23" t="n"/>
      <c r="S46" s="20" t="n"/>
      <c r="T46" s="20" t="n"/>
    </row>
    <row r="47">
      <c r="A47" s="30" t="n"/>
      <c r="B47" s="17">
        <f>IF(案件管理!$A47="","",IF(OR($A47="✓",LEFT(案件管理!$U47,2)="A："),"◎ 上申対象",IF(LEFT(案件管理!$U47,2)="B：","△ 要相談","—")))</f>
        <v/>
      </c>
      <c r="C47" s="17">
        <f>IF(OR($B47="",$B47="—"),"",案件管理!$A47)</f>
        <v/>
      </c>
      <c r="D47" s="17">
        <f>IF(OR($B47="",$B47="—"),"",案件管理!$B47)</f>
        <v/>
      </c>
      <c r="E47" s="31">
        <f>IF(OR($B47="",$B47="—"),"",案件管理!$C47)</f>
        <v/>
      </c>
      <c r="F47" s="17">
        <f>IF(OR($B47="",$B47="—"),"",案件管理!$D47)</f>
        <v/>
      </c>
      <c r="G47" s="32">
        <f>IF(OR($B47="",$B47="—"),"",案件管理!$E47)</f>
        <v/>
      </c>
      <c r="H47" s="32">
        <f>IF(OR($B47="",$B47="—"),"",案件管理!$F47)</f>
        <v/>
      </c>
      <c r="I47" s="15">
        <f>IF(OR($B47="",$B47="—"),"",案件管理!$G47)</f>
        <v/>
      </c>
      <c r="J47" s="32">
        <f>IF(OR($B47="",$B47="—"),"",案件管理!$H47)</f>
        <v/>
      </c>
      <c r="K47" s="17">
        <f>IF(OR($B47="",$B47="—"),"",案件管理!$U47)</f>
        <v/>
      </c>
      <c r="L47" s="18">
        <f>IF(OR($B47="",$B47="—"),"",案件管理!$V47)</f>
        <v/>
      </c>
      <c r="M47" s="31">
        <f>IF(OR($B47="",$B47="—"),"",IF(案件管理!$I47="×","1-1 ","")&amp;IF(案件管理!$J47="×","1-2 ","")&amp;IF(案件管理!$K47="×","1-3 ","")&amp;IF(案件管理!$L47="×","2 ","")&amp;IF(案件管理!$M47="×","3 ","")&amp;IF(案件管理!$N47="×","4 ","")&amp;IF(案件管理!$O47="×","5 ","")&amp;IF(案件管理!$P47="×","8-1 ","")&amp;IF(案件管理!$Q47="×","8-2 ","")&amp;IF(案件管理!$R47="×","9 ","")&amp;IF(案件管理!$S47="×","11 ","")&amp;IF(案件管理!$T47="×","12 ",""))</f>
        <v/>
      </c>
      <c r="N47" s="31">
        <f>IF(OR($B47="",$B47="—"),"",IF(案件管理!$I47="－","1-1 ","")&amp;IF(案件管理!$J47="－","1-2 ","")&amp;IF(案件管理!$K47="－","1-3 ","")&amp;IF(案件管理!$L47="－","2 ","")&amp;IF(案件管理!$M47="－","3 ","")&amp;IF(案件管理!$N47="－","4 ","")&amp;IF(案件管理!$O47="－","5 ","")&amp;IF(案件管理!$P47="－","8-1 ","")&amp;IF(案件管理!$Q47="－","8-2 ","")&amp;IF(案件管理!$R47="－","9 ","")&amp;IF(案件管理!$S47="－","11 ","")&amp;IF(案件管理!$T47="－","12 ",""))</f>
        <v/>
      </c>
      <c r="O47" s="31">
        <f>IF(OR($B47="",$B47="—"),"",案件管理!$AB47)</f>
        <v/>
      </c>
      <c r="P47" s="17">
        <f>IF(OR($B47="",$B47="—"),"",案件管理!$X47)</f>
        <v/>
      </c>
      <c r="Q47" s="22" t="n"/>
      <c r="R47" s="23" t="n"/>
      <c r="S47" s="20" t="n"/>
      <c r="T47" s="20" t="n"/>
    </row>
    <row r="48">
      <c r="A48" s="30" t="n"/>
      <c r="B48" s="17">
        <f>IF(案件管理!$A48="","",IF(OR($A48="✓",LEFT(案件管理!$U48,2)="A："),"◎ 上申対象",IF(LEFT(案件管理!$U48,2)="B：","△ 要相談","—")))</f>
        <v/>
      </c>
      <c r="C48" s="17">
        <f>IF(OR($B48="",$B48="—"),"",案件管理!$A48)</f>
        <v/>
      </c>
      <c r="D48" s="17">
        <f>IF(OR($B48="",$B48="—"),"",案件管理!$B48)</f>
        <v/>
      </c>
      <c r="E48" s="31">
        <f>IF(OR($B48="",$B48="—"),"",案件管理!$C48)</f>
        <v/>
      </c>
      <c r="F48" s="17">
        <f>IF(OR($B48="",$B48="—"),"",案件管理!$D48)</f>
        <v/>
      </c>
      <c r="G48" s="32">
        <f>IF(OR($B48="",$B48="—"),"",案件管理!$E48)</f>
        <v/>
      </c>
      <c r="H48" s="32">
        <f>IF(OR($B48="",$B48="—"),"",案件管理!$F48)</f>
        <v/>
      </c>
      <c r="I48" s="15">
        <f>IF(OR($B48="",$B48="—"),"",案件管理!$G48)</f>
        <v/>
      </c>
      <c r="J48" s="32">
        <f>IF(OR($B48="",$B48="—"),"",案件管理!$H48)</f>
        <v/>
      </c>
      <c r="K48" s="17">
        <f>IF(OR($B48="",$B48="—"),"",案件管理!$U48)</f>
        <v/>
      </c>
      <c r="L48" s="18">
        <f>IF(OR($B48="",$B48="—"),"",案件管理!$V48)</f>
        <v/>
      </c>
      <c r="M48" s="31">
        <f>IF(OR($B48="",$B48="—"),"",IF(案件管理!$I48="×","1-1 ","")&amp;IF(案件管理!$J48="×","1-2 ","")&amp;IF(案件管理!$K48="×","1-3 ","")&amp;IF(案件管理!$L48="×","2 ","")&amp;IF(案件管理!$M48="×","3 ","")&amp;IF(案件管理!$N48="×","4 ","")&amp;IF(案件管理!$O48="×","5 ","")&amp;IF(案件管理!$P48="×","8-1 ","")&amp;IF(案件管理!$Q48="×","8-2 ","")&amp;IF(案件管理!$R48="×","9 ","")&amp;IF(案件管理!$S48="×","11 ","")&amp;IF(案件管理!$T48="×","12 ",""))</f>
        <v/>
      </c>
      <c r="N48" s="31">
        <f>IF(OR($B48="",$B48="—"),"",IF(案件管理!$I48="－","1-1 ","")&amp;IF(案件管理!$J48="－","1-2 ","")&amp;IF(案件管理!$K48="－","1-3 ","")&amp;IF(案件管理!$L48="－","2 ","")&amp;IF(案件管理!$M48="－","3 ","")&amp;IF(案件管理!$N48="－","4 ","")&amp;IF(案件管理!$O48="－","5 ","")&amp;IF(案件管理!$P48="－","8-1 ","")&amp;IF(案件管理!$Q48="－","8-2 ","")&amp;IF(案件管理!$R48="－","9 ","")&amp;IF(案件管理!$S48="－","11 ","")&amp;IF(案件管理!$T48="－","12 ",""))</f>
        <v/>
      </c>
      <c r="O48" s="31">
        <f>IF(OR($B48="",$B48="—"),"",案件管理!$AB48)</f>
        <v/>
      </c>
      <c r="P48" s="17">
        <f>IF(OR($B48="",$B48="—"),"",案件管理!$X48)</f>
        <v/>
      </c>
      <c r="Q48" s="22" t="n"/>
      <c r="R48" s="23" t="n"/>
      <c r="S48" s="20" t="n"/>
      <c r="T48" s="20" t="n"/>
    </row>
    <row r="49">
      <c r="A49" s="30" t="n"/>
      <c r="B49" s="17">
        <f>IF(案件管理!$A49="","",IF(OR($A49="✓",LEFT(案件管理!$U49,2)="A："),"◎ 上申対象",IF(LEFT(案件管理!$U49,2)="B：","△ 要相談","—")))</f>
        <v/>
      </c>
      <c r="C49" s="17">
        <f>IF(OR($B49="",$B49="—"),"",案件管理!$A49)</f>
        <v/>
      </c>
      <c r="D49" s="17">
        <f>IF(OR($B49="",$B49="—"),"",案件管理!$B49)</f>
        <v/>
      </c>
      <c r="E49" s="31">
        <f>IF(OR($B49="",$B49="—"),"",案件管理!$C49)</f>
        <v/>
      </c>
      <c r="F49" s="17">
        <f>IF(OR($B49="",$B49="—"),"",案件管理!$D49)</f>
        <v/>
      </c>
      <c r="G49" s="32">
        <f>IF(OR($B49="",$B49="—"),"",案件管理!$E49)</f>
        <v/>
      </c>
      <c r="H49" s="32">
        <f>IF(OR($B49="",$B49="—"),"",案件管理!$F49)</f>
        <v/>
      </c>
      <c r="I49" s="15">
        <f>IF(OR($B49="",$B49="—"),"",案件管理!$G49)</f>
        <v/>
      </c>
      <c r="J49" s="32">
        <f>IF(OR($B49="",$B49="—"),"",案件管理!$H49)</f>
        <v/>
      </c>
      <c r="K49" s="17">
        <f>IF(OR($B49="",$B49="—"),"",案件管理!$U49)</f>
        <v/>
      </c>
      <c r="L49" s="18">
        <f>IF(OR($B49="",$B49="—"),"",案件管理!$V49)</f>
        <v/>
      </c>
      <c r="M49" s="31">
        <f>IF(OR($B49="",$B49="—"),"",IF(案件管理!$I49="×","1-1 ","")&amp;IF(案件管理!$J49="×","1-2 ","")&amp;IF(案件管理!$K49="×","1-3 ","")&amp;IF(案件管理!$L49="×","2 ","")&amp;IF(案件管理!$M49="×","3 ","")&amp;IF(案件管理!$N49="×","4 ","")&amp;IF(案件管理!$O49="×","5 ","")&amp;IF(案件管理!$P49="×","8-1 ","")&amp;IF(案件管理!$Q49="×","8-2 ","")&amp;IF(案件管理!$R49="×","9 ","")&amp;IF(案件管理!$S49="×","11 ","")&amp;IF(案件管理!$T49="×","12 ",""))</f>
        <v/>
      </c>
      <c r="N49" s="31">
        <f>IF(OR($B49="",$B49="—"),"",IF(案件管理!$I49="－","1-1 ","")&amp;IF(案件管理!$J49="－","1-2 ","")&amp;IF(案件管理!$K49="－","1-3 ","")&amp;IF(案件管理!$L49="－","2 ","")&amp;IF(案件管理!$M49="－","3 ","")&amp;IF(案件管理!$N49="－","4 ","")&amp;IF(案件管理!$O49="－","5 ","")&amp;IF(案件管理!$P49="－","8-1 ","")&amp;IF(案件管理!$Q49="－","8-2 ","")&amp;IF(案件管理!$R49="－","9 ","")&amp;IF(案件管理!$S49="－","11 ","")&amp;IF(案件管理!$T49="－","12 ",""))</f>
        <v/>
      </c>
      <c r="O49" s="31">
        <f>IF(OR($B49="",$B49="—"),"",案件管理!$AB49)</f>
        <v/>
      </c>
      <c r="P49" s="17">
        <f>IF(OR($B49="",$B49="—"),"",案件管理!$X49)</f>
        <v/>
      </c>
      <c r="Q49" s="22" t="n"/>
      <c r="R49" s="23" t="n"/>
      <c r="S49" s="20" t="n"/>
      <c r="T49" s="20" t="n"/>
    </row>
    <row r="50">
      <c r="A50" s="30" t="n"/>
      <c r="B50" s="17">
        <f>IF(案件管理!$A50="","",IF(OR($A50="✓",LEFT(案件管理!$U50,2)="A："),"◎ 上申対象",IF(LEFT(案件管理!$U50,2)="B：","△ 要相談","—")))</f>
        <v/>
      </c>
      <c r="C50" s="17">
        <f>IF(OR($B50="",$B50="—"),"",案件管理!$A50)</f>
        <v/>
      </c>
      <c r="D50" s="17">
        <f>IF(OR($B50="",$B50="—"),"",案件管理!$B50)</f>
        <v/>
      </c>
      <c r="E50" s="31">
        <f>IF(OR($B50="",$B50="—"),"",案件管理!$C50)</f>
        <v/>
      </c>
      <c r="F50" s="17">
        <f>IF(OR($B50="",$B50="—"),"",案件管理!$D50)</f>
        <v/>
      </c>
      <c r="G50" s="32">
        <f>IF(OR($B50="",$B50="—"),"",案件管理!$E50)</f>
        <v/>
      </c>
      <c r="H50" s="32">
        <f>IF(OR($B50="",$B50="—"),"",案件管理!$F50)</f>
        <v/>
      </c>
      <c r="I50" s="15">
        <f>IF(OR($B50="",$B50="—"),"",案件管理!$G50)</f>
        <v/>
      </c>
      <c r="J50" s="32">
        <f>IF(OR($B50="",$B50="—"),"",案件管理!$H50)</f>
        <v/>
      </c>
      <c r="K50" s="17">
        <f>IF(OR($B50="",$B50="—"),"",案件管理!$U50)</f>
        <v/>
      </c>
      <c r="L50" s="18">
        <f>IF(OR($B50="",$B50="—"),"",案件管理!$V50)</f>
        <v/>
      </c>
      <c r="M50" s="31">
        <f>IF(OR($B50="",$B50="—"),"",IF(案件管理!$I50="×","1-1 ","")&amp;IF(案件管理!$J50="×","1-2 ","")&amp;IF(案件管理!$K50="×","1-3 ","")&amp;IF(案件管理!$L50="×","2 ","")&amp;IF(案件管理!$M50="×","3 ","")&amp;IF(案件管理!$N50="×","4 ","")&amp;IF(案件管理!$O50="×","5 ","")&amp;IF(案件管理!$P50="×","8-1 ","")&amp;IF(案件管理!$Q50="×","8-2 ","")&amp;IF(案件管理!$R50="×","9 ","")&amp;IF(案件管理!$S50="×","11 ","")&amp;IF(案件管理!$T50="×","12 ",""))</f>
        <v/>
      </c>
      <c r="N50" s="31">
        <f>IF(OR($B50="",$B50="—"),"",IF(案件管理!$I50="－","1-1 ","")&amp;IF(案件管理!$J50="－","1-2 ","")&amp;IF(案件管理!$K50="－","1-3 ","")&amp;IF(案件管理!$L50="－","2 ","")&amp;IF(案件管理!$M50="－","3 ","")&amp;IF(案件管理!$N50="－","4 ","")&amp;IF(案件管理!$O50="－","5 ","")&amp;IF(案件管理!$P50="－","8-1 ","")&amp;IF(案件管理!$Q50="－","8-2 ","")&amp;IF(案件管理!$R50="－","9 ","")&amp;IF(案件管理!$S50="－","11 ","")&amp;IF(案件管理!$T50="－","12 ",""))</f>
        <v/>
      </c>
      <c r="O50" s="31">
        <f>IF(OR($B50="",$B50="—"),"",案件管理!$AB50)</f>
        <v/>
      </c>
      <c r="P50" s="17">
        <f>IF(OR($B50="",$B50="—"),"",案件管理!$X50)</f>
        <v/>
      </c>
      <c r="Q50" s="22" t="n"/>
      <c r="R50" s="23" t="n"/>
      <c r="S50" s="20" t="n"/>
      <c r="T50" s="20" t="n"/>
    </row>
    <row r="51">
      <c r="A51" s="30" t="n"/>
      <c r="B51" s="17">
        <f>IF(案件管理!$A51="","",IF(OR($A51="✓",LEFT(案件管理!$U51,2)="A："),"◎ 上申対象",IF(LEFT(案件管理!$U51,2)="B：","△ 要相談","—")))</f>
        <v/>
      </c>
      <c r="C51" s="17">
        <f>IF(OR($B51="",$B51="—"),"",案件管理!$A51)</f>
        <v/>
      </c>
      <c r="D51" s="17">
        <f>IF(OR($B51="",$B51="—"),"",案件管理!$B51)</f>
        <v/>
      </c>
      <c r="E51" s="31">
        <f>IF(OR($B51="",$B51="—"),"",案件管理!$C51)</f>
        <v/>
      </c>
      <c r="F51" s="17">
        <f>IF(OR($B51="",$B51="—"),"",案件管理!$D51)</f>
        <v/>
      </c>
      <c r="G51" s="32">
        <f>IF(OR($B51="",$B51="—"),"",案件管理!$E51)</f>
        <v/>
      </c>
      <c r="H51" s="32">
        <f>IF(OR($B51="",$B51="—"),"",案件管理!$F51)</f>
        <v/>
      </c>
      <c r="I51" s="15">
        <f>IF(OR($B51="",$B51="—"),"",案件管理!$G51)</f>
        <v/>
      </c>
      <c r="J51" s="32">
        <f>IF(OR($B51="",$B51="—"),"",案件管理!$H51)</f>
        <v/>
      </c>
      <c r="K51" s="17">
        <f>IF(OR($B51="",$B51="—"),"",案件管理!$U51)</f>
        <v/>
      </c>
      <c r="L51" s="18">
        <f>IF(OR($B51="",$B51="—"),"",案件管理!$V51)</f>
        <v/>
      </c>
      <c r="M51" s="31">
        <f>IF(OR($B51="",$B51="—"),"",IF(案件管理!$I51="×","1-1 ","")&amp;IF(案件管理!$J51="×","1-2 ","")&amp;IF(案件管理!$K51="×","1-3 ","")&amp;IF(案件管理!$L51="×","2 ","")&amp;IF(案件管理!$M51="×","3 ","")&amp;IF(案件管理!$N51="×","4 ","")&amp;IF(案件管理!$O51="×","5 ","")&amp;IF(案件管理!$P51="×","8-1 ","")&amp;IF(案件管理!$Q51="×","8-2 ","")&amp;IF(案件管理!$R51="×","9 ","")&amp;IF(案件管理!$S51="×","11 ","")&amp;IF(案件管理!$T51="×","12 ",""))</f>
        <v/>
      </c>
      <c r="N51" s="31">
        <f>IF(OR($B51="",$B51="—"),"",IF(案件管理!$I51="－","1-1 ","")&amp;IF(案件管理!$J51="－","1-2 ","")&amp;IF(案件管理!$K51="－","1-3 ","")&amp;IF(案件管理!$L51="－","2 ","")&amp;IF(案件管理!$M51="－","3 ","")&amp;IF(案件管理!$N51="－","4 ","")&amp;IF(案件管理!$O51="－","5 ","")&amp;IF(案件管理!$P51="－","8-1 ","")&amp;IF(案件管理!$Q51="－","8-2 ","")&amp;IF(案件管理!$R51="－","9 ","")&amp;IF(案件管理!$S51="－","11 ","")&amp;IF(案件管理!$T51="－","12 ",""))</f>
        <v/>
      </c>
      <c r="O51" s="31">
        <f>IF(OR($B51="",$B51="—"),"",案件管理!$AB51)</f>
        <v/>
      </c>
      <c r="P51" s="17">
        <f>IF(OR($B51="",$B51="—"),"",案件管理!$X51)</f>
        <v/>
      </c>
      <c r="Q51" s="22" t="n"/>
      <c r="R51" s="23" t="n"/>
      <c r="S51" s="20" t="n"/>
      <c r="T51" s="20" t="n"/>
    </row>
    <row r="52">
      <c r="A52" s="30" t="n"/>
      <c r="B52" s="17">
        <f>IF(案件管理!$A52="","",IF(OR($A52="✓",LEFT(案件管理!$U52,2)="A："),"◎ 上申対象",IF(LEFT(案件管理!$U52,2)="B：","△ 要相談","—")))</f>
        <v/>
      </c>
      <c r="C52" s="17">
        <f>IF(OR($B52="",$B52="—"),"",案件管理!$A52)</f>
        <v/>
      </c>
      <c r="D52" s="17">
        <f>IF(OR($B52="",$B52="—"),"",案件管理!$B52)</f>
        <v/>
      </c>
      <c r="E52" s="31">
        <f>IF(OR($B52="",$B52="—"),"",案件管理!$C52)</f>
        <v/>
      </c>
      <c r="F52" s="17">
        <f>IF(OR($B52="",$B52="—"),"",案件管理!$D52)</f>
        <v/>
      </c>
      <c r="G52" s="32">
        <f>IF(OR($B52="",$B52="—"),"",案件管理!$E52)</f>
        <v/>
      </c>
      <c r="H52" s="32">
        <f>IF(OR($B52="",$B52="—"),"",案件管理!$F52)</f>
        <v/>
      </c>
      <c r="I52" s="15">
        <f>IF(OR($B52="",$B52="—"),"",案件管理!$G52)</f>
        <v/>
      </c>
      <c r="J52" s="32">
        <f>IF(OR($B52="",$B52="—"),"",案件管理!$H52)</f>
        <v/>
      </c>
      <c r="K52" s="17">
        <f>IF(OR($B52="",$B52="—"),"",案件管理!$U52)</f>
        <v/>
      </c>
      <c r="L52" s="18">
        <f>IF(OR($B52="",$B52="—"),"",案件管理!$V52)</f>
        <v/>
      </c>
      <c r="M52" s="31">
        <f>IF(OR($B52="",$B52="—"),"",IF(案件管理!$I52="×","1-1 ","")&amp;IF(案件管理!$J52="×","1-2 ","")&amp;IF(案件管理!$K52="×","1-3 ","")&amp;IF(案件管理!$L52="×","2 ","")&amp;IF(案件管理!$M52="×","3 ","")&amp;IF(案件管理!$N52="×","4 ","")&amp;IF(案件管理!$O52="×","5 ","")&amp;IF(案件管理!$P52="×","8-1 ","")&amp;IF(案件管理!$Q52="×","8-2 ","")&amp;IF(案件管理!$R52="×","9 ","")&amp;IF(案件管理!$S52="×","11 ","")&amp;IF(案件管理!$T52="×","12 ",""))</f>
        <v/>
      </c>
      <c r="N52" s="31">
        <f>IF(OR($B52="",$B52="—"),"",IF(案件管理!$I52="－","1-1 ","")&amp;IF(案件管理!$J52="－","1-2 ","")&amp;IF(案件管理!$K52="－","1-3 ","")&amp;IF(案件管理!$L52="－","2 ","")&amp;IF(案件管理!$M52="－","3 ","")&amp;IF(案件管理!$N52="－","4 ","")&amp;IF(案件管理!$O52="－","5 ","")&amp;IF(案件管理!$P52="－","8-1 ","")&amp;IF(案件管理!$Q52="－","8-2 ","")&amp;IF(案件管理!$R52="－","9 ","")&amp;IF(案件管理!$S52="－","11 ","")&amp;IF(案件管理!$T52="－","12 ",""))</f>
        <v/>
      </c>
      <c r="O52" s="31">
        <f>IF(OR($B52="",$B52="—"),"",案件管理!$AB52)</f>
        <v/>
      </c>
      <c r="P52" s="17">
        <f>IF(OR($B52="",$B52="—"),"",案件管理!$X52)</f>
        <v/>
      </c>
      <c r="Q52" s="22" t="n"/>
      <c r="R52" s="23" t="n"/>
      <c r="S52" s="20" t="n"/>
      <c r="T52" s="20" t="n"/>
    </row>
    <row r="53">
      <c r="A53" s="30" t="n"/>
      <c r="B53" s="17">
        <f>IF(案件管理!$A53="","",IF(OR($A53="✓",LEFT(案件管理!$U53,2)="A："),"◎ 上申対象",IF(LEFT(案件管理!$U53,2)="B：","△ 要相談","—")))</f>
        <v/>
      </c>
      <c r="C53" s="17">
        <f>IF(OR($B53="",$B53="—"),"",案件管理!$A53)</f>
        <v/>
      </c>
      <c r="D53" s="17">
        <f>IF(OR($B53="",$B53="—"),"",案件管理!$B53)</f>
        <v/>
      </c>
      <c r="E53" s="31">
        <f>IF(OR($B53="",$B53="—"),"",案件管理!$C53)</f>
        <v/>
      </c>
      <c r="F53" s="17">
        <f>IF(OR($B53="",$B53="—"),"",案件管理!$D53)</f>
        <v/>
      </c>
      <c r="G53" s="32">
        <f>IF(OR($B53="",$B53="—"),"",案件管理!$E53)</f>
        <v/>
      </c>
      <c r="H53" s="32">
        <f>IF(OR($B53="",$B53="—"),"",案件管理!$F53)</f>
        <v/>
      </c>
      <c r="I53" s="15">
        <f>IF(OR($B53="",$B53="—"),"",案件管理!$G53)</f>
        <v/>
      </c>
      <c r="J53" s="32">
        <f>IF(OR($B53="",$B53="—"),"",案件管理!$H53)</f>
        <v/>
      </c>
      <c r="K53" s="17">
        <f>IF(OR($B53="",$B53="—"),"",案件管理!$U53)</f>
        <v/>
      </c>
      <c r="L53" s="18">
        <f>IF(OR($B53="",$B53="—"),"",案件管理!$V53)</f>
        <v/>
      </c>
      <c r="M53" s="31">
        <f>IF(OR($B53="",$B53="—"),"",IF(案件管理!$I53="×","1-1 ","")&amp;IF(案件管理!$J53="×","1-2 ","")&amp;IF(案件管理!$K53="×","1-3 ","")&amp;IF(案件管理!$L53="×","2 ","")&amp;IF(案件管理!$M53="×","3 ","")&amp;IF(案件管理!$N53="×","4 ","")&amp;IF(案件管理!$O53="×","5 ","")&amp;IF(案件管理!$P53="×","8-1 ","")&amp;IF(案件管理!$Q53="×","8-2 ","")&amp;IF(案件管理!$R53="×","9 ","")&amp;IF(案件管理!$S53="×","11 ","")&amp;IF(案件管理!$T53="×","12 ",""))</f>
        <v/>
      </c>
      <c r="N53" s="31">
        <f>IF(OR($B53="",$B53="—"),"",IF(案件管理!$I53="－","1-1 ","")&amp;IF(案件管理!$J53="－","1-2 ","")&amp;IF(案件管理!$K53="－","1-3 ","")&amp;IF(案件管理!$L53="－","2 ","")&amp;IF(案件管理!$M53="－","3 ","")&amp;IF(案件管理!$N53="－","4 ","")&amp;IF(案件管理!$O53="－","5 ","")&amp;IF(案件管理!$P53="－","8-1 ","")&amp;IF(案件管理!$Q53="－","8-2 ","")&amp;IF(案件管理!$R53="－","9 ","")&amp;IF(案件管理!$S53="－","11 ","")&amp;IF(案件管理!$T53="－","12 ",""))</f>
        <v/>
      </c>
      <c r="O53" s="31">
        <f>IF(OR($B53="",$B53="—"),"",案件管理!$AB53)</f>
        <v/>
      </c>
      <c r="P53" s="17">
        <f>IF(OR($B53="",$B53="—"),"",案件管理!$X53)</f>
        <v/>
      </c>
      <c r="Q53" s="22" t="n"/>
      <c r="R53" s="23" t="n"/>
      <c r="S53" s="20" t="n"/>
      <c r="T53" s="20" t="n"/>
    </row>
    <row r="54">
      <c r="A54" s="30" t="n"/>
      <c r="B54" s="17">
        <f>IF(案件管理!$A54="","",IF(OR($A54="✓",LEFT(案件管理!$U54,2)="A："),"◎ 上申対象",IF(LEFT(案件管理!$U54,2)="B：","△ 要相談","—")))</f>
        <v/>
      </c>
      <c r="C54" s="17">
        <f>IF(OR($B54="",$B54="—"),"",案件管理!$A54)</f>
        <v/>
      </c>
      <c r="D54" s="17">
        <f>IF(OR($B54="",$B54="—"),"",案件管理!$B54)</f>
        <v/>
      </c>
      <c r="E54" s="31">
        <f>IF(OR($B54="",$B54="—"),"",案件管理!$C54)</f>
        <v/>
      </c>
      <c r="F54" s="17">
        <f>IF(OR($B54="",$B54="—"),"",案件管理!$D54)</f>
        <v/>
      </c>
      <c r="G54" s="32">
        <f>IF(OR($B54="",$B54="—"),"",案件管理!$E54)</f>
        <v/>
      </c>
      <c r="H54" s="32">
        <f>IF(OR($B54="",$B54="—"),"",案件管理!$F54)</f>
        <v/>
      </c>
      <c r="I54" s="15">
        <f>IF(OR($B54="",$B54="—"),"",案件管理!$G54)</f>
        <v/>
      </c>
      <c r="J54" s="32">
        <f>IF(OR($B54="",$B54="—"),"",案件管理!$H54)</f>
        <v/>
      </c>
      <c r="K54" s="17">
        <f>IF(OR($B54="",$B54="—"),"",案件管理!$U54)</f>
        <v/>
      </c>
      <c r="L54" s="18">
        <f>IF(OR($B54="",$B54="—"),"",案件管理!$V54)</f>
        <v/>
      </c>
      <c r="M54" s="31">
        <f>IF(OR($B54="",$B54="—"),"",IF(案件管理!$I54="×","1-1 ","")&amp;IF(案件管理!$J54="×","1-2 ","")&amp;IF(案件管理!$K54="×","1-3 ","")&amp;IF(案件管理!$L54="×","2 ","")&amp;IF(案件管理!$M54="×","3 ","")&amp;IF(案件管理!$N54="×","4 ","")&amp;IF(案件管理!$O54="×","5 ","")&amp;IF(案件管理!$P54="×","8-1 ","")&amp;IF(案件管理!$Q54="×","8-2 ","")&amp;IF(案件管理!$R54="×","9 ","")&amp;IF(案件管理!$S54="×","11 ","")&amp;IF(案件管理!$T54="×","12 ",""))</f>
        <v/>
      </c>
      <c r="N54" s="31">
        <f>IF(OR($B54="",$B54="—"),"",IF(案件管理!$I54="－","1-1 ","")&amp;IF(案件管理!$J54="－","1-2 ","")&amp;IF(案件管理!$K54="－","1-3 ","")&amp;IF(案件管理!$L54="－","2 ","")&amp;IF(案件管理!$M54="－","3 ","")&amp;IF(案件管理!$N54="－","4 ","")&amp;IF(案件管理!$O54="－","5 ","")&amp;IF(案件管理!$P54="－","8-1 ","")&amp;IF(案件管理!$Q54="－","8-2 ","")&amp;IF(案件管理!$R54="－","9 ","")&amp;IF(案件管理!$S54="－","11 ","")&amp;IF(案件管理!$T54="－","12 ",""))</f>
        <v/>
      </c>
      <c r="O54" s="31">
        <f>IF(OR($B54="",$B54="—"),"",案件管理!$AB54)</f>
        <v/>
      </c>
      <c r="P54" s="17">
        <f>IF(OR($B54="",$B54="—"),"",案件管理!$X54)</f>
        <v/>
      </c>
      <c r="Q54" s="22" t="n"/>
      <c r="R54" s="23" t="n"/>
      <c r="S54" s="20" t="n"/>
      <c r="T54" s="20" t="n"/>
    </row>
    <row r="55">
      <c r="A55" s="30" t="n"/>
      <c r="B55" s="17">
        <f>IF(案件管理!$A55="","",IF(OR($A55="✓",LEFT(案件管理!$U55,2)="A："),"◎ 上申対象",IF(LEFT(案件管理!$U55,2)="B：","△ 要相談","—")))</f>
        <v/>
      </c>
      <c r="C55" s="17">
        <f>IF(OR($B55="",$B55="—"),"",案件管理!$A55)</f>
        <v/>
      </c>
      <c r="D55" s="17">
        <f>IF(OR($B55="",$B55="—"),"",案件管理!$B55)</f>
        <v/>
      </c>
      <c r="E55" s="31">
        <f>IF(OR($B55="",$B55="—"),"",案件管理!$C55)</f>
        <v/>
      </c>
      <c r="F55" s="17">
        <f>IF(OR($B55="",$B55="—"),"",案件管理!$D55)</f>
        <v/>
      </c>
      <c r="G55" s="32">
        <f>IF(OR($B55="",$B55="—"),"",案件管理!$E55)</f>
        <v/>
      </c>
      <c r="H55" s="32">
        <f>IF(OR($B55="",$B55="—"),"",案件管理!$F55)</f>
        <v/>
      </c>
      <c r="I55" s="15">
        <f>IF(OR($B55="",$B55="—"),"",案件管理!$G55)</f>
        <v/>
      </c>
      <c r="J55" s="32">
        <f>IF(OR($B55="",$B55="—"),"",案件管理!$H55)</f>
        <v/>
      </c>
      <c r="K55" s="17">
        <f>IF(OR($B55="",$B55="—"),"",案件管理!$U55)</f>
        <v/>
      </c>
      <c r="L55" s="18">
        <f>IF(OR($B55="",$B55="—"),"",案件管理!$V55)</f>
        <v/>
      </c>
      <c r="M55" s="31">
        <f>IF(OR($B55="",$B55="—"),"",IF(案件管理!$I55="×","1-1 ","")&amp;IF(案件管理!$J55="×","1-2 ","")&amp;IF(案件管理!$K55="×","1-3 ","")&amp;IF(案件管理!$L55="×","2 ","")&amp;IF(案件管理!$M55="×","3 ","")&amp;IF(案件管理!$N55="×","4 ","")&amp;IF(案件管理!$O55="×","5 ","")&amp;IF(案件管理!$P55="×","8-1 ","")&amp;IF(案件管理!$Q55="×","8-2 ","")&amp;IF(案件管理!$R55="×","9 ","")&amp;IF(案件管理!$S55="×","11 ","")&amp;IF(案件管理!$T55="×","12 ",""))</f>
        <v/>
      </c>
      <c r="N55" s="31">
        <f>IF(OR($B55="",$B55="—"),"",IF(案件管理!$I55="－","1-1 ","")&amp;IF(案件管理!$J55="－","1-2 ","")&amp;IF(案件管理!$K55="－","1-3 ","")&amp;IF(案件管理!$L55="－","2 ","")&amp;IF(案件管理!$M55="－","3 ","")&amp;IF(案件管理!$N55="－","4 ","")&amp;IF(案件管理!$O55="－","5 ","")&amp;IF(案件管理!$P55="－","8-1 ","")&amp;IF(案件管理!$Q55="－","8-2 ","")&amp;IF(案件管理!$R55="－","9 ","")&amp;IF(案件管理!$S55="－","11 ","")&amp;IF(案件管理!$T55="－","12 ",""))</f>
        <v/>
      </c>
      <c r="O55" s="31">
        <f>IF(OR($B55="",$B55="—"),"",案件管理!$AB55)</f>
        <v/>
      </c>
      <c r="P55" s="17">
        <f>IF(OR($B55="",$B55="—"),"",案件管理!$X55)</f>
        <v/>
      </c>
      <c r="Q55" s="22" t="n"/>
      <c r="R55" s="23" t="n"/>
      <c r="S55" s="20" t="n"/>
      <c r="T55" s="20" t="n"/>
    </row>
    <row r="56">
      <c r="A56" s="30" t="n"/>
      <c r="B56" s="17">
        <f>IF(案件管理!$A56="","",IF(OR($A56="✓",LEFT(案件管理!$U56,2)="A："),"◎ 上申対象",IF(LEFT(案件管理!$U56,2)="B：","△ 要相談","—")))</f>
        <v/>
      </c>
      <c r="C56" s="17">
        <f>IF(OR($B56="",$B56="—"),"",案件管理!$A56)</f>
        <v/>
      </c>
      <c r="D56" s="17">
        <f>IF(OR($B56="",$B56="—"),"",案件管理!$B56)</f>
        <v/>
      </c>
      <c r="E56" s="31">
        <f>IF(OR($B56="",$B56="—"),"",案件管理!$C56)</f>
        <v/>
      </c>
      <c r="F56" s="17">
        <f>IF(OR($B56="",$B56="—"),"",案件管理!$D56)</f>
        <v/>
      </c>
      <c r="G56" s="32">
        <f>IF(OR($B56="",$B56="—"),"",案件管理!$E56)</f>
        <v/>
      </c>
      <c r="H56" s="32">
        <f>IF(OR($B56="",$B56="—"),"",案件管理!$F56)</f>
        <v/>
      </c>
      <c r="I56" s="15">
        <f>IF(OR($B56="",$B56="—"),"",案件管理!$G56)</f>
        <v/>
      </c>
      <c r="J56" s="32">
        <f>IF(OR($B56="",$B56="—"),"",案件管理!$H56)</f>
        <v/>
      </c>
      <c r="K56" s="17">
        <f>IF(OR($B56="",$B56="—"),"",案件管理!$U56)</f>
        <v/>
      </c>
      <c r="L56" s="18">
        <f>IF(OR($B56="",$B56="—"),"",案件管理!$V56)</f>
        <v/>
      </c>
      <c r="M56" s="31">
        <f>IF(OR($B56="",$B56="—"),"",IF(案件管理!$I56="×","1-1 ","")&amp;IF(案件管理!$J56="×","1-2 ","")&amp;IF(案件管理!$K56="×","1-3 ","")&amp;IF(案件管理!$L56="×","2 ","")&amp;IF(案件管理!$M56="×","3 ","")&amp;IF(案件管理!$N56="×","4 ","")&amp;IF(案件管理!$O56="×","5 ","")&amp;IF(案件管理!$P56="×","8-1 ","")&amp;IF(案件管理!$Q56="×","8-2 ","")&amp;IF(案件管理!$R56="×","9 ","")&amp;IF(案件管理!$S56="×","11 ","")&amp;IF(案件管理!$T56="×","12 ",""))</f>
        <v/>
      </c>
      <c r="N56" s="31">
        <f>IF(OR($B56="",$B56="—"),"",IF(案件管理!$I56="－","1-1 ","")&amp;IF(案件管理!$J56="－","1-2 ","")&amp;IF(案件管理!$K56="－","1-3 ","")&amp;IF(案件管理!$L56="－","2 ","")&amp;IF(案件管理!$M56="－","3 ","")&amp;IF(案件管理!$N56="－","4 ","")&amp;IF(案件管理!$O56="－","5 ","")&amp;IF(案件管理!$P56="－","8-1 ","")&amp;IF(案件管理!$Q56="－","8-2 ","")&amp;IF(案件管理!$R56="－","9 ","")&amp;IF(案件管理!$S56="－","11 ","")&amp;IF(案件管理!$T56="－","12 ",""))</f>
        <v/>
      </c>
      <c r="O56" s="31">
        <f>IF(OR($B56="",$B56="—"),"",案件管理!$AB56)</f>
        <v/>
      </c>
      <c r="P56" s="17">
        <f>IF(OR($B56="",$B56="—"),"",案件管理!$X56)</f>
        <v/>
      </c>
      <c r="Q56" s="22" t="n"/>
      <c r="R56" s="23" t="n"/>
      <c r="S56" s="20" t="n"/>
      <c r="T56" s="20" t="n"/>
    </row>
    <row r="57">
      <c r="A57" s="30" t="n"/>
      <c r="B57" s="17">
        <f>IF(案件管理!$A57="","",IF(OR($A57="✓",LEFT(案件管理!$U57,2)="A："),"◎ 上申対象",IF(LEFT(案件管理!$U57,2)="B：","△ 要相談","—")))</f>
        <v/>
      </c>
      <c r="C57" s="17">
        <f>IF(OR($B57="",$B57="—"),"",案件管理!$A57)</f>
        <v/>
      </c>
      <c r="D57" s="17">
        <f>IF(OR($B57="",$B57="—"),"",案件管理!$B57)</f>
        <v/>
      </c>
      <c r="E57" s="31">
        <f>IF(OR($B57="",$B57="—"),"",案件管理!$C57)</f>
        <v/>
      </c>
      <c r="F57" s="17">
        <f>IF(OR($B57="",$B57="—"),"",案件管理!$D57)</f>
        <v/>
      </c>
      <c r="G57" s="32">
        <f>IF(OR($B57="",$B57="—"),"",案件管理!$E57)</f>
        <v/>
      </c>
      <c r="H57" s="32">
        <f>IF(OR($B57="",$B57="—"),"",案件管理!$F57)</f>
        <v/>
      </c>
      <c r="I57" s="15">
        <f>IF(OR($B57="",$B57="—"),"",案件管理!$G57)</f>
        <v/>
      </c>
      <c r="J57" s="32">
        <f>IF(OR($B57="",$B57="—"),"",案件管理!$H57)</f>
        <v/>
      </c>
      <c r="K57" s="17">
        <f>IF(OR($B57="",$B57="—"),"",案件管理!$U57)</f>
        <v/>
      </c>
      <c r="L57" s="18">
        <f>IF(OR($B57="",$B57="—"),"",案件管理!$V57)</f>
        <v/>
      </c>
      <c r="M57" s="31">
        <f>IF(OR($B57="",$B57="—"),"",IF(案件管理!$I57="×","1-1 ","")&amp;IF(案件管理!$J57="×","1-2 ","")&amp;IF(案件管理!$K57="×","1-3 ","")&amp;IF(案件管理!$L57="×","2 ","")&amp;IF(案件管理!$M57="×","3 ","")&amp;IF(案件管理!$N57="×","4 ","")&amp;IF(案件管理!$O57="×","5 ","")&amp;IF(案件管理!$P57="×","8-1 ","")&amp;IF(案件管理!$Q57="×","8-2 ","")&amp;IF(案件管理!$R57="×","9 ","")&amp;IF(案件管理!$S57="×","11 ","")&amp;IF(案件管理!$T57="×","12 ",""))</f>
        <v/>
      </c>
      <c r="N57" s="31">
        <f>IF(OR($B57="",$B57="—"),"",IF(案件管理!$I57="－","1-1 ","")&amp;IF(案件管理!$J57="－","1-2 ","")&amp;IF(案件管理!$K57="－","1-3 ","")&amp;IF(案件管理!$L57="－","2 ","")&amp;IF(案件管理!$M57="－","3 ","")&amp;IF(案件管理!$N57="－","4 ","")&amp;IF(案件管理!$O57="－","5 ","")&amp;IF(案件管理!$P57="－","8-1 ","")&amp;IF(案件管理!$Q57="－","8-2 ","")&amp;IF(案件管理!$R57="－","9 ","")&amp;IF(案件管理!$S57="－","11 ","")&amp;IF(案件管理!$T57="－","12 ",""))</f>
        <v/>
      </c>
      <c r="O57" s="31">
        <f>IF(OR($B57="",$B57="—"),"",案件管理!$AB57)</f>
        <v/>
      </c>
      <c r="P57" s="17">
        <f>IF(OR($B57="",$B57="—"),"",案件管理!$X57)</f>
        <v/>
      </c>
      <c r="Q57" s="22" t="n"/>
      <c r="R57" s="23" t="n"/>
      <c r="S57" s="20" t="n"/>
      <c r="T57" s="20" t="n"/>
    </row>
    <row r="58">
      <c r="A58" s="30" t="n"/>
      <c r="B58" s="17">
        <f>IF(案件管理!$A58="","",IF(OR($A58="✓",LEFT(案件管理!$U58,2)="A："),"◎ 上申対象",IF(LEFT(案件管理!$U58,2)="B：","△ 要相談","—")))</f>
        <v/>
      </c>
      <c r="C58" s="17">
        <f>IF(OR($B58="",$B58="—"),"",案件管理!$A58)</f>
        <v/>
      </c>
      <c r="D58" s="17">
        <f>IF(OR($B58="",$B58="—"),"",案件管理!$B58)</f>
        <v/>
      </c>
      <c r="E58" s="31">
        <f>IF(OR($B58="",$B58="—"),"",案件管理!$C58)</f>
        <v/>
      </c>
      <c r="F58" s="17">
        <f>IF(OR($B58="",$B58="—"),"",案件管理!$D58)</f>
        <v/>
      </c>
      <c r="G58" s="32">
        <f>IF(OR($B58="",$B58="—"),"",案件管理!$E58)</f>
        <v/>
      </c>
      <c r="H58" s="32">
        <f>IF(OR($B58="",$B58="—"),"",案件管理!$F58)</f>
        <v/>
      </c>
      <c r="I58" s="15">
        <f>IF(OR($B58="",$B58="—"),"",案件管理!$G58)</f>
        <v/>
      </c>
      <c r="J58" s="32">
        <f>IF(OR($B58="",$B58="—"),"",案件管理!$H58)</f>
        <v/>
      </c>
      <c r="K58" s="17">
        <f>IF(OR($B58="",$B58="—"),"",案件管理!$U58)</f>
        <v/>
      </c>
      <c r="L58" s="18">
        <f>IF(OR($B58="",$B58="—"),"",案件管理!$V58)</f>
        <v/>
      </c>
      <c r="M58" s="31">
        <f>IF(OR($B58="",$B58="—"),"",IF(案件管理!$I58="×","1-1 ","")&amp;IF(案件管理!$J58="×","1-2 ","")&amp;IF(案件管理!$K58="×","1-3 ","")&amp;IF(案件管理!$L58="×","2 ","")&amp;IF(案件管理!$M58="×","3 ","")&amp;IF(案件管理!$N58="×","4 ","")&amp;IF(案件管理!$O58="×","5 ","")&amp;IF(案件管理!$P58="×","8-1 ","")&amp;IF(案件管理!$Q58="×","8-2 ","")&amp;IF(案件管理!$R58="×","9 ","")&amp;IF(案件管理!$S58="×","11 ","")&amp;IF(案件管理!$T58="×","12 ",""))</f>
        <v/>
      </c>
      <c r="N58" s="31">
        <f>IF(OR($B58="",$B58="—"),"",IF(案件管理!$I58="－","1-1 ","")&amp;IF(案件管理!$J58="－","1-2 ","")&amp;IF(案件管理!$K58="－","1-3 ","")&amp;IF(案件管理!$L58="－","2 ","")&amp;IF(案件管理!$M58="－","3 ","")&amp;IF(案件管理!$N58="－","4 ","")&amp;IF(案件管理!$O58="－","5 ","")&amp;IF(案件管理!$P58="－","8-1 ","")&amp;IF(案件管理!$Q58="－","8-2 ","")&amp;IF(案件管理!$R58="－","9 ","")&amp;IF(案件管理!$S58="－","11 ","")&amp;IF(案件管理!$T58="－","12 ",""))</f>
        <v/>
      </c>
      <c r="O58" s="31">
        <f>IF(OR($B58="",$B58="—"),"",案件管理!$AB58)</f>
        <v/>
      </c>
      <c r="P58" s="17">
        <f>IF(OR($B58="",$B58="—"),"",案件管理!$X58)</f>
        <v/>
      </c>
      <c r="Q58" s="22" t="n"/>
      <c r="R58" s="23" t="n"/>
      <c r="S58" s="20" t="n"/>
      <c r="T58" s="20" t="n"/>
    </row>
    <row r="59">
      <c r="A59" s="30" t="n"/>
      <c r="B59" s="17">
        <f>IF(案件管理!$A59="","",IF(OR($A59="✓",LEFT(案件管理!$U59,2)="A："),"◎ 上申対象",IF(LEFT(案件管理!$U59,2)="B：","△ 要相談","—")))</f>
        <v/>
      </c>
      <c r="C59" s="17">
        <f>IF(OR($B59="",$B59="—"),"",案件管理!$A59)</f>
        <v/>
      </c>
      <c r="D59" s="17">
        <f>IF(OR($B59="",$B59="—"),"",案件管理!$B59)</f>
        <v/>
      </c>
      <c r="E59" s="31">
        <f>IF(OR($B59="",$B59="—"),"",案件管理!$C59)</f>
        <v/>
      </c>
      <c r="F59" s="17">
        <f>IF(OR($B59="",$B59="—"),"",案件管理!$D59)</f>
        <v/>
      </c>
      <c r="G59" s="32">
        <f>IF(OR($B59="",$B59="—"),"",案件管理!$E59)</f>
        <v/>
      </c>
      <c r="H59" s="32">
        <f>IF(OR($B59="",$B59="—"),"",案件管理!$F59)</f>
        <v/>
      </c>
      <c r="I59" s="15">
        <f>IF(OR($B59="",$B59="—"),"",案件管理!$G59)</f>
        <v/>
      </c>
      <c r="J59" s="32">
        <f>IF(OR($B59="",$B59="—"),"",案件管理!$H59)</f>
        <v/>
      </c>
      <c r="K59" s="17">
        <f>IF(OR($B59="",$B59="—"),"",案件管理!$U59)</f>
        <v/>
      </c>
      <c r="L59" s="18">
        <f>IF(OR($B59="",$B59="—"),"",案件管理!$V59)</f>
        <v/>
      </c>
      <c r="M59" s="31">
        <f>IF(OR($B59="",$B59="—"),"",IF(案件管理!$I59="×","1-1 ","")&amp;IF(案件管理!$J59="×","1-2 ","")&amp;IF(案件管理!$K59="×","1-3 ","")&amp;IF(案件管理!$L59="×","2 ","")&amp;IF(案件管理!$M59="×","3 ","")&amp;IF(案件管理!$N59="×","4 ","")&amp;IF(案件管理!$O59="×","5 ","")&amp;IF(案件管理!$P59="×","8-1 ","")&amp;IF(案件管理!$Q59="×","8-2 ","")&amp;IF(案件管理!$R59="×","9 ","")&amp;IF(案件管理!$S59="×","11 ","")&amp;IF(案件管理!$T59="×","12 ",""))</f>
        <v/>
      </c>
      <c r="N59" s="31">
        <f>IF(OR($B59="",$B59="—"),"",IF(案件管理!$I59="－","1-1 ","")&amp;IF(案件管理!$J59="－","1-2 ","")&amp;IF(案件管理!$K59="－","1-3 ","")&amp;IF(案件管理!$L59="－","2 ","")&amp;IF(案件管理!$M59="－","3 ","")&amp;IF(案件管理!$N59="－","4 ","")&amp;IF(案件管理!$O59="－","5 ","")&amp;IF(案件管理!$P59="－","8-1 ","")&amp;IF(案件管理!$Q59="－","8-2 ","")&amp;IF(案件管理!$R59="－","9 ","")&amp;IF(案件管理!$S59="－","11 ","")&amp;IF(案件管理!$T59="－","12 ",""))</f>
        <v/>
      </c>
      <c r="O59" s="31">
        <f>IF(OR($B59="",$B59="—"),"",案件管理!$AB59)</f>
        <v/>
      </c>
      <c r="P59" s="17">
        <f>IF(OR($B59="",$B59="—"),"",案件管理!$X59)</f>
        <v/>
      </c>
      <c r="Q59" s="22" t="n"/>
      <c r="R59" s="23" t="n"/>
      <c r="S59" s="20" t="n"/>
      <c r="T59" s="20" t="n"/>
    </row>
    <row r="60">
      <c r="A60" s="30" t="n"/>
      <c r="B60" s="17">
        <f>IF(案件管理!$A60="","",IF(OR($A60="✓",LEFT(案件管理!$U60,2)="A："),"◎ 上申対象",IF(LEFT(案件管理!$U60,2)="B：","△ 要相談","—")))</f>
        <v/>
      </c>
      <c r="C60" s="17">
        <f>IF(OR($B60="",$B60="—"),"",案件管理!$A60)</f>
        <v/>
      </c>
      <c r="D60" s="17">
        <f>IF(OR($B60="",$B60="—"),"",案件管理!$B60)</f>
        <v/>
      </c>
      <c r="E60" s="31">
        <f>IF(OR($B60="",$B60="—"),"",案件管理!$C60)</f>
        <v/>
      </c>
      <c r="F60" s="17">
        <f>IF(OR($B60="",$B60="—"),"",案件管理!$D60)</f>
        <v/>
      </c>
      <c r="G60" s="32">
        <f>IF(OR($B60="",$B60="—"),"",案件管理!$E60)</f>
        <v/>
      </c>
      <c r="H60" s="32">
        <f>IF(OR($B60="",$B60="—"),"",案件管理!$F60)</f>
        <v/>
      </c>
      <c r="I60" s="15">
        <f>IF(OR($B60="",$B60="—"),"",案件管理!$G60)</f>
        <v/>
      </c>
      <c r="J60" s="32">
        <f>IF(OR($B60="",$B60="—"),"",案件管理!$H60)</f>
        <v/>
      </c>
      <c r="K60" s="17">
        <f>IF(OR($B60="",$B60="—"),"",案件管理!$U60)</f>
        <v/>
      </c>
      <c r="L60" s="18">
        <f>IF(OR($B60="",$B60="—"),"",案件管理!$V60)</f>
        <v/>
      </c>
      <c r="M60" s="31">
        <f>IF(OR($B60="",$B60="—"),"",IF(案件管理!$I60="×","1-1 ","")&amp;IF(案件管理!$J60="×","1-2 ","")&amp;IF(案件管理!$K60="×","1-3 ","")&amp;IF(案件管理!$L60="×","2 ","")&amp;IF(案件管理!$M60="×","3 ","")&amp;IF(案件管理!$N60="×","4 ","")&amp;IF(案件管理!$O60="×","5 ","")&amp;IF(案件管理!$P60="×","8-1 ","")&amp;IF(案件管理!$Q60="×","8-2 ","")&amp;IF(案件管理!$R60="×","9 ","")&amp;IF(案件管理!$S60="×","11 ","")&amp;IF(案件管理!$T60="×","12 ",""))</f>
        <v/>
      </c>
      <c r="N60" s="31">
        <f>IF(OR($B60="",$B60="—"),"",IF(案件管理!$I60="－","1-1 ","")&amp;IF(案件管理!$J60="－","1-2 ","")&amp;IF(案件管理!$K60="－","1-3 ","")&amp;IF(案件管理!$L60="－","2 ","")&amp;IF(案件管理!$M60="－","3 ","")&amp;IF(案件管理!$N60="－","4 ","")&amp;IF(案件管理!$O60="－","5 ","")&amp;IF(案件管理!$P60="－","8-1 ","")&amp;IF(案件管理!$Q60="－","8-2 ","")&amp;IF(案件管理!$R60="－","9 ","")&amp;IF(案件管理!$S60="－","11 ","")&amp;IF(案件管理!$T60="－","12 ",""))</f>
        <v/>
      </c>
      <c r="O60" s="31">
        <f>IF(OR($B60="",$B60="—"),"",案件管理!$AB60)</f>
        <v/>
      </c>
      <c r="P60" s="17">
        <f>IF(OR($B60="",$B60="—"),"",案件管理!$X60)</f>
        <v/>
      </c>
      <c r="Q60" s="22" t="n"/>
      <c r="R60" s="23" t="n"/>
      <c r="S60" s="20" t="n"/>
      <c r="T60" s="20" t="n"/>
    </row>
    <row r="61">
      <c r="A61" s="30" t="n"/>
      <c r="B61" s="17">
        <f>IF(案件管理!$A61="","",IF(OR($A61="✓",LEFT(案件管理!$U61,2)="A："),"◎ 上申対象",IF(LEFT(案件管理!$U61,2)="B：","△ 要相談","—")))</f>
        <v/>
      </c>
      <c r="C61" s="17">
        <f>IF(OR($B61="",$B61="—"),"",案件管理!$A61)</f>
        <v/>
      </c>
      <c r="D61" s="17">
        <f>IF(OR($B61="",$B61="—"),"",案件管理!$B61)</f>
        <v/>
      </c>
      <c r="E61" s="31">
        <f>IF(OR($B61="",$B61="—"),"",案件管理!$C61)</f>
        <v/>
      </c>
      <c r="F61" s="17">
        <f>IF(OR($B61="",$B61="—"),"",案件管理!$D61)</f>
        <v/>
      </c>
      <c r="G61" s="32">
        <f>IF(OR($B61="",$B61="—"),"",案件管理!$E61)</f>
        <v/>
      </c>
      <c r="H61" s="32">
        <f>IF(OR($B61="",$B61="—"),"",案件管理!$F61)</f>
        <v/>
      </c>
      <c r="I61" s="15">
        <f>IF(OR($B61="",$B61="—"),"",案件管理!$G61)</f>
        <v/>
      </c>
      <c r="J61" s="32">
        <f>IF(OR($B61="",$B61="—"),"",案件管理!$H61)</f>
        <v/>
      </c>
      <c r="K61" s="17">
        <f>IF(OR($B61="",$B61="—"),"",案件管理!$U61)</f>
        <v/>
      </c>
      <c r="L61" s="18">
        <f>IF(OR($B61="",$B61="—"),"",案件管理!$V61)</f>
        <v/>
      </c>
      <c r="M61" s="31">
        <f>IF(OR($B61="",$B61="—"),"",IF(案件管理!$I61="×","1-1 ","")&amp;IF(案件管理!$J61="×","1-2 ","")&amp;IF(案件管理!$K61="×","1-3 ","")&amp;IF(案件管理!$L61="×","2 ","")&amp;IF(案件管理!$M61="×","3 ","")&amp;IF(案件管理!$N61="×","4 ","")&amp;IF(案件管理!$O61="×","5 ","")&amp;IF(案件管理!$P61="×","8-1 ","")&amp;IF(案件管理!$Q61="×","8-2 ","")&amp;IF(案件管理!$R61="×","9 ","")&amp;IF(案件管理!$S61="×","11 ","")&amp;IF(案件管理!$T61="×","12 ",""))</f>
        <v/>
      </c>
      <c r="N61" s="31">
        <f>IF(OR($B61="",$B61="—"),"",IF(案件管理!$I61="－","1-1 ","")&amp;IF(案件管理!$J61="－","1-2 ","")&amp;IF(案件管理!$K61="－","1-3 ","")&amp;IF(案件管理!$L61="－","2 ","")&amp;IF(案件管理!$M61="－","3 ","")&amp;IF(案件管理!$N61="－","4 ","")&amp;IF(案件管理!$O61="－","5 ","")&amp;IF(案件管理!$P61="－","8-1 ","")&amp;IF(案件管理!$Q61="－","8-2 ","")&amp;IF(案件管理!$R61="－","9 ","")&amp;IF(案件管理!$S61="－","11 ","")&amp;IF(案件管理!$T61="－","12 ",""))</f>
        <v/>
      </c>
      <c r="O61" s="31">
        <f>IF(OR($B61="",$B61="—"),"",案件管理!$AB61)</f>
        <v/>
      </c>
      <c r="P61" s="17">
        <f>IF(OR($B61="",$B61="—"),"",案件管理!$X61)</f>
        <v/>
      </c>
      <c r="Q61" s="22" t="n"/>
      <c r="R61" s="23" t="n"/>
      <c r="S61" s="20" t="n"/>
      <c r="T61" s="20" t="n"/>
    </row>
    <row r="62">
      <c r="A62" s="30" t="n"/>
      <c r="B62" s="17">
        <f>IF(案件管理!$A62="","",IF(OR($A62="✓",LEFT(案件管理!$U62,2)="A："),"◎ 上申対象",IF(LEFT(案件管理!$U62,2)="B：","△ 要相談","—")))</f>
        <v/>
      </c>
      <c r="C62" s="17">
        <f>IF(OR($B62="",$B62="—"),"",案件管理!$A62)</f>
        <v/>
      </c>
      <c r="D62" s="17">
        <f>IF(OR($B62="",$B62="—"),"",案件管理!$B62)</f>
        <v/>
      </c>
      <c r="E62" s="31">
        <f>IF(OR($B62="",$B62="—"),"",案件管理!$C62)</f>
        <v/>
      </c>
      <c r="F62" s="17">
        <f>IF(OR($B62="",$B62="—"),"",案件管理!$D62)</f>
        <v/>
      </c>
      <c r="G62" s="32">
        <f>IF(OR($B62="",$B62="—"),"",案件管理!$E62)</f>
        <v/>
      </c>
      <c r="H62" s="32">
        <f>IF(OR($B62="",$B62="—"),"",案件管理!$F62)</f>
        <v/>
      </c>
      <c r="I62" s="15">
        <f>IF(OR($B62="",$B62="—"),"",案件管理!$G62)</f>
        <v/>
      </c>
      <c r="J62" s="32">
        <f>IF(OR($B62="",$B62="—"),"",案件管理!$H62)</f>
        <v/>
      </c>
      <c r="K62" s="17">
        <f>IF(OR($B62="",$B62="—"),"",案件管理!$U62)</f>
        <v/>
      </c>
      <c r="L62" s="18">
        <f>IF(OR($B62="",$B62="—"),"",案件管理!$V62)</f>
        <v/>
      </c>
      <c r="M62" s="31">
        <f>IF(OR($B62="",$B62="—"),"",IF(案件管理!$I62="×","1-1 ","")&amp;IF(案件管理!$J62="×","1-2 ","")&amp;IF(案件管理!$K62="×","1-3 ","")&amp;IF(案件管理!$L62="×","2 ","")&amp;IF(案件管理!$M62="×","3 ","")&amp;IF(案件管理!$N62="×","4 ","")&amp;IF(案件管理!$O62="×","5 ","")&amp;IF(案件管理!$P62="×","8-1 ","")&amp;IF(案件管理!$Q62="×","8-2 ","")&amp;IF(案件管理!$R62="×","9 ","")&amp;IF(案件管理!$S62="×","11 ","")&amp;IF(案件管理!$T62="×","12 ",""))</f>
        <v/>
      </c>
      <c r="N62" s="31">
        <f>IF(OR($B62="",$B62="—"),"",IF(案件管理!$I62="－","1-1 ","")&amp;IF(案件管理!$J62="－","1-2 ","")&amp;IF(案件管理!$K62="－","1-3 ","")&amp;IF(案件管理!$L62="－","2 ","")&amp;IF(案件管理!$M62="－","3 ","")&amp;IF(案件管理!$N62="－","4 ","")&amp;IF(案件管理!$O62="－","5 ","")&amp;IF(案件管理!$P62="－","8-1 ","")&amp;IF(案件管理!$Q62="－","8-2 ","")&amp;IF(案件管理!$R62="－","9 ","")&amp;IF(案件管理!$S62="－","11 ","")&amp;IF(案件管理!$T62="－","12 ",""))</f>
        <v/>
      </c>
      <c r="O62" s="31">
        <f>IF(OR($B62="",$B62="—"),"",案件管理!$AB62)</f>
        <v/>
      </c>
      <c r="P62" s="17">
        <f>IF(OR($B62="",$B62="—"),"",案件管理!$X62)</f>
        <v/>
      </c>
      <c r="Q62" s="22" t="n"/>
      <c r="R62" s="23" t="n"/>
      <c r="S62" s="20" t="n"/>
      <c r="T62" s="20" t="n"/>
    </row>
    <row r="63">
      <c r="A63" s="30" t="n"/>
      <c r="B63" s="17">
        <f>IF(案件管理!$A63="","",IF(OR($A63="✓",LEFT(案件管理!$U63,2)="A："),"◎ 上申対象",IF(LEFT(案件管理!$U63,2)="B：","△ 要相談","—")))</f>
        <v/>
      </c>
      <c r="C63" s="17">
        <f>IF(OR($B63="",$B63="—"),"",案件管理!$A63)</f>
        <v/>
      </c>
      <c r="D63" s="17">
        <f>IF(OR($B63="",$B63="—"),"",案件管理!$B63)</f>
        <v/>
      </c>
      <c r="E63" s="31">
        <f>IF(OR($B63="",$B63="—"),"",案件管理!$C63)</f>
        <v/>
      </c>
      <c r="F63" s="17">
        <f>IF(OR($B63="",$B63="—"),"",案件管理!$D63)</f>
        <v/>
      </c>
      <c r="G63" s="32">
        <f>IF(OR($B63="",$B63="—"),"",案件管理!$E63)</f>
        <v/>
      </c>
      <c r="H63" s="32">
        <f>IF(OR($B63="",$B63="—"),"",案件管理!$F63)</f>
        <v/>
      </c>
      <c r="I63" s="15">
        <f>IF(OR($B63="",$B63="—"),"",案件管理!$G63)</f>
        <v/>
      </c>
      <c r="J63" s="32">
        <f>IF(OR($B63="",$B63="—"),"",案件管理!$H63)</f>
        <v/>
      </c>
      <c r="K63" s="17">
        <f>IF(OR($B63="",$B63="—"),"",案件管理!$U63)</f>
        <v/>
      </c>
      <c r="L63" s="18">
        <f>IF(OR($B63="",$B63="—"),"",案件管理!$V63)</f>
        <v/>
      </c>
      <c r="M63" s="31">
        <f>IF(OR($B63="",$B63="—"),"",IF(案件管理!$I63="×","1-1 ","")&amp;IF(案件管理!$J63="×","1-2 ","")&amp;IF(案件管理!$K63="×","1-3 ","")&amp;IF(案件管理!$L63="×","2 ","")&amp;IF(案件管理!$M63="×","3 ","")&amp;IF(案件管理!$N63="×","4 ","")&amp;IF(案件管理!$O63="×","5 ","")&amp;IF(案件管理!$P63="×","8-1 ","")&amp;IF(案件管理!$Q63="×","8-2 ","")&amp;IF(案件管理!$R63="×","9 ","")&amp;IF(案件管理!$S63="×","11 ","")&amp;IF(案件管理!$T63="×","12 ",""))</f>
        <v/>
      </c>
      <c r="N63" s="31">
        <f>IF(OR($B63="",$B63="—"),"",IF(案件管理!$I63="－","1-1 ","")&amp;IF(案件管理!$J63="－","1-2 ","")&amp;IF(案件管理!$K63="－","1-3 ","")&amp;IF(案件管理!$L63="－","2 ","")&amp;IF(案件管理!$M63="－","3 ","")&amp;IF(案件管理!$N63="－","4 ","")&amp;IF(案件管理!$O63="－","5 ","")&amp;IF(案件管理!$P63="－","8-1 ","")&amp;IF(案件管理!$Q63="－","8-2 ","")&amp;IF(案件管理!$R63="－","9 ","")&amp;IF(案件管理!$S63="－","11 ","")&amp;IF(案件管理!$T63="－","12 ",""))</f>
        <v/>
      </c>
      <c r="O63" s="31">
        <f>IF(OR($B63="",$B63="—"),"",案件管理!$AB63)</f>
        <v/>
      </c>
      <c r="P63" s="17">
        <f>IF(OR($B63="",$B63="—"),"",案件管理!$X63)</f>
        <v/>
      </c>
      <c r="Q63" s="22" t="n"/>
      <c r="R63" s="23" t="n"/>
      <c r="S63" s="20" t="n"/>
      <c r="T63" s="20" t="n"/>
    </row>
    <row r="64">
      <c r="A64" s="30" t="n"/>
      <c r="B64" s="17">
        <f>IF(案件管理!$A64="","",IF(OR($A64="✓",LEFT(案件管理!$U64,2)="A："),"◎ 上申対象",IF(LEFT(案件管理!$U64,2)="B：","△ 要相談","—")))</f>
        <v/>
      </c>
      <c r="C64" s="17">
        <f>IF(OR($B64="",$B64="—"),"",案件管理!$A64)</f>
        <v/>
      </c>
      <c r="D64" s="17">
        <f>IF(OR($B64="",$B64="—"),"",案件管理!$B64)</f>
        <v/>
      </c>
      <c r="E64" s="31">
        <f>IF(OR($B64="",$B64="—"),"",案件管理!$C64)</f>
        <v/>
      </c>
      <c r="F64" s="17">
        <f>IF(OR($B64="",$B64="—"),"",案件管理!$D64)</f>
        <v/>
      </c>
      <c r="G64" s="32">
        <f>IF(OR($B64="",$B64="—"),"",案件管理!$E64)</f>
        <v/>
      </c>
      <c r="H64" s="32">
        <f>IF(OR($B64="",$B64="—"),"",案件管理!$F64)</f>
        <v/>
      </c>
      <c r="I64" s="15">
        <f>IF(OR($B64="",$B64="—"),"",案件管理!$G64)</f>
        <v/>
      </c>
      <c r="J64" s="32">
        <f>IF(OR($B64="",$B64="—"),"",案件管理!$H64)</f>
        <v/>
      </c>
      <c r="K64" s="17">
        <f>IF(OR($B64="",$B64="—"),"",案件管理!$U64)</f>
        <v/>
      </c>
      <c r="L64" s="18">
        <f>IF(OR($B64="",$B64="—"),"",案件管理!$V64)</f>
        <v/>
      </c>
      <c r="M64" s="31">
        <f>IF(OR($B64="",$B64="—"),"",IF(案件管理!$I64="×","1-1 ","")&amp;IF(案件管理!$J64="×","1-2 ","")&amp;IF(案件管理!$K64="×","1-3 ","")&amp;IF(案件管理!$L64="×","2 ","")&amp;IF(案件管理!$M64="×","3 ","")&amp;IF(案件管理!$N64="×","4 ","")&amp;IF(案件管理!$O64="×","5 ","")&amp;IF(案件管理!$P64="×","8-1 ","")&amp;IF(案件管理!$Q64="×","8-2 ","")&amp;IF(案件管理!$R64="×","9 ","")&amp;IF(案件管理!$S64="×","11 ","")&amp;IF(案件管理!$T64="×","12 ",""))</f>
        <v/>
      </c>
      <c r="N64" s="31">
        <f>IF(OR($B64="",$B64="—"),"",IF(案件管理!$I64="－","1-1 ","")&amp;IF(案件管理!$J64="－","1-2 ","")&amp;IF(案件管理!$K64="－","1-3 ","")&amp;IF(案件管理!$L64="－","2 ","")&amp;IF(案件管理!$M64="－","3 ","")&amp;IF(案件管理!$N64="－","4 ","")&amp;IF(案件管理!$O64="－","5 ","")&amp;IF(案件管理!$P64="－","8-1 ","")&amp;IF(案件管理!$Q64="－","8-2 ","")&amp;IF(案件管理!$R64="－","9 ","")&amp;IF(案件管理!$S64="－","11 ","")&amp;IF(案件管理!$T64="－","12 ",""))</f>
        <v/>
      </c>
      <c r="O64" s="31">
        <f>IF(OR($B64="",$B64="—"),"",案件管理!$AB64)</f>
        <v/>
      </c>
      <c r="P64" s="17">
        <f>IF(OR($B64="",$B64="—"),"",案件管理!$X64)</f>
        <v/>
      </c>
      <c r="Q64" s="22" t="n"/>
      <c r="R64" s="23" t="n"/>
      <c r="S64" s="20" t="n"/>
      <c r="T64" s="20" t="n"/>
    </row>
    <row r="65">
      <c r="A65" s="30" t="n"/>
      <c r="B65" s="17">
        <f>IF(案件管理!$A65="","",IF(OR($A65="✓",LEFT(案件管理!$U65,2)="A："),"◎ 上申対象",IF(LEFT(案件管理!$U65,2)="B：","△ 要相談","—")))</f>
        <v/>
      </c>
      <c r="C65" s="17">
        <f>IF(OR($B65="",$B65="—"),"",案件管理!$A65)</f>
        <v/>
      </c>
      <c r="D65" s="17">
        <f>IF(OR($B65="",$B65="—"),"",案件管理!$B65)</f>
        <v/>
      </c>
      <c r="E65" s="31">
        <f>IF(OR($B65="",$B65="—"),"",案件管理!$C65)</f>
        <v/>
      </c>
      <c r="F65" s="17">
        <f>IF(OR($B65="",$B65="—"),"",案件管理!$D65)</f>
        <v/>
      </c>
      <c r="G65" s="32">
        <f>IF(OR($B65="",$B65="—"),"",案件管理!$E65)</f>
        <v/>
      </c>
      <c r="H65" s="32">
        <f>IF(OR($B65="",$B65="—"),"",案件管理!$F65)</f>
        <v/>
      </c>
      <c r="I65" s="15">
        <f>IF(OR($B65="",$B65="—"),"",案件管理!$G65)</f>
        <v/>
      </c>
      <c r="J65" s="32">
        <f>IF(OR($B65="",$B65="—"),"",案件管理!$H65)</f>
        <v/>
      </c>
      <c r="K65" s="17">
        <f>IF(OR($B65="",$B65="—"),"",案件管理!$U65)</f>
        <v/>
      </c>
      <c r="L65" s="18">
        <f>IF(OR($B65="",$B65="—"),"",案件管理!$V65)</f>
        <v/>
      </c>
      <c r="M65" s="31">
        <f>IF(OR($B65="",$B65="—"),"",IF(案件管理!$I65="×","1-1 ","")&amp;IF(案件管理!$J65="×","1-2 ","")&amp;IF(案件管理!$K65="×","1-3 ","")&amp;IF(案件管理!$L65="×","2 ","")&amp;IF(案件管理!$M65="×","3 ","")&amp;IF(案件管理!$N65="×","4 ","")&amp;IF(案件管理!$O65="×","5 ","")&amp;IF(案件管理!$P65="×","8-1 ","")&amp;IF(案件管理!$Q65="×","8-2 ","")&amp;IF(案件管理!$R65="×","9 ","")&amp;IF(案件管理!$S65="×","11 ","")&amp;IF(案件管理!$T65="×","12 ",""))</f>
        <v/>
      </c>
      <c r="N65" s="31">
        <f>IF(OR($B65="",$B65="—"),"",IF(案件管理!$I65="－","1-1 ","")&amp;IF(案件管理!$J65="－","1-2 ","")&amp;IF(案件管理!$K65="－","1-3 ","")&amp;IF(案件管理!$L65="－","2 ","")&amp;IF(案件管理!$M65="－","3 ","")&amp;IF(案件管理!$N65="－","4 ","")&amp;IF(案件管理!$O65="－","5 ","")&amp;IF(案件管理!$P65="－","8-1 ","")&amp;IF(案件管理!$Q65="－","8-2 ","")&amp;IF(案件管理!$R65="－","9 ","")&amp;IF(案件管理!$S65="－","11 ","")&amp;IF(案件管理!$T65="－","12 ",""))</f>
        <v/>
      </c>
      <c r="O65" s="31">
        <f>IF(OR($B65="",$B65="—"),"",案件管理!$AB65)</f>
        <v/>
      </c>
      <c r="P65" s="17">
        <f>IF(OR($B65="",$B65="—"),"",案件管理!$X65)</f>
        <v/>
      </c>
      <c r="Q65" s="22" t="n"/>
      <c r="R65" s="23" t="n"/>
      <c r="S65" s="20" t="n"/>
      <c r="T65" s="20" t="n"/>
    </row>
    <row r="66">
      <c r="A66" s="30" t="n"/>
      <c r="B66" s="17">
        <f>IF(案件管理!$A66="","",IF(OR($A66="✓",LEFT(案件管理!$U66,2)="A："),"◎ 上申対象",IF(LEFT(案件管理!$U66,2)="B：","△ 要相談","—")))</f>
        <v/>
      </c>
      <c r="C66" s="17">
        <f>IF(OR($B66="",$B66="—"),"",案件管理!$A66)</f>
        <v/>
      </c>
      <c r="D66" s="17">
        <f>IF(OR($B66="",$B66="—"),"",案件管理!$B66)</f>
        <v/>
      </c>
      <c r="E66" s="31">
        <f>IF(OR($B66="",$B66="—"),"",案件管理!$C66)</f>
        <v/>
      </c>
      <c r="F66" s="17">
        <f>IF(OR($B66="",$B66="—"),"",案件管理!$D66)</f>
        <v/>
      </c>
      <c r="G66" s="32">
        <f>IF(OR($B66="",$B66="—"),"",案件管理!$E66)</f>
        <v/>
      </c>
      <c r="H66" s="32">
        <f>IF(OR($B66="",$B66="—"),"",案件管理!$F66)</f>
        <v/>
      </c>
      <c r="I66" s="15">
        <f>IF(OR($B66="",$B66="—"),"",案件管理!$G66)</f>
        <v/>
      </c>
      <c r="J66" s="32">
        <f>IF(OR($B66="",$B66="—"),"",案件管理!$H66)</f>
        <v/>
      </c>
      <c r="K66" s="17">
        <f>IF(OR($B66="",$B66="—"),"",案件管理!$U66)</f>
        <v/>
      </c>
      <c r="L66" s="18">
        <f>IF(OR($B66="",$B66="—"),"",案件管理!$V66)</f>
        <v/>
      </c>
      <c r="M66" s="31">
        <f>IF(OR($B66="",$B66="—"),"",IF(案件管理!$I66="×","1-1 ","")&amp;IF(案件管理!$J66="×","1-2 ","")&amp;IF(案件管理!$K66="×","1-3 ","")&amp;IF(案件管理!$L66="×","2 ","")&amp;IF(案件管理!$M66="×","3 ","")&amp;IF(案件管理!$N66="×","4 ","")&amp;IF(案件管理!$O66="×","5 ","")&amp;IF(案件管理!$P66="×","8-1 ","")&amp;IF(案件管理!$Q66="×","8-2 ","")&amp;IF(案件管理!$R66="×","9 ","")&amp;IF(案件管理!$S66="×","11 ","")&amp;IF(案件管理!$T66="×","12 ",""))</f>
        <v/>
      </c>
      <c r="N66" s="31">
        <f>IF(OR($B66="",$B66="—"),"",IF(案件管理!$I66="－","1-1 ","")&amp;IF(案件管理!$J66="－","1-2 ","")&amp;IF(案件管理!$K66="－","1-3 ","")&amp;IF(案件管理!$L66="－","2 ","")&amp;IF(案件管理!$M66="－","3 ","")&amp;IF(案件管理!$N66="－","4 ","")&amp;IF(案件管理!$O66="－","5 ","")&amp;IF(案件管理!$P66="－","8-1 ","")&amp;IF(案件管理!$Q66="－","8-2 ","")&amp;IF(案件管理!$R66="－","9 ","")&amp;IF(案件管理!$S66="－","11 ","")&amp;IF(案件管理!$T66="－","12 ",""))</f>
        <v/>
      </c>
      <c r="O66" s="31">
        <f>IF(OR($B66="",$B66="—"),"",案件管理!$AB66)</f>
        <v/>
      </c>
      <c r="P66" s="17">
        <f>IF(OR($B66="",$B66="—"),"",案件管理!$X66)</f>
        <v/>
      </c>
      <c r="Q66" s="22" t="n"/>
      <c r="R66" s="23" t="n"/>
      <c r="S66" s="20" t="n"/>
      <c r="T66" s="20" t="n"/>
    </row>
    <row r="67">
      <c r="A67" s="30" t="n"/>
      <c r="B67" s="17">
        <f>IF(案件管理!$A67="","",IF(OR($A67="✓",LEFT(案件管理!$U67,2)="A："),"◎ 上申対象",IF(LEFT(案件管理!$U67,2)="B：","△ 要相談","—")))</f>
        <v/>
      </c>
      <c r="C67" s="17">
        <f>IF(OR($B67="",$B67="—"),"",案件管理!$A67)</f>
        <v/>
      </c>
      <c r="D67" s="17">
        <f>IF(OR($B67="",$B67="—"),"",案件管理!$B67)</f>
        <v/>
      </c>
      <c r="E67" s="31">
        <f>IF(OR($B67="",$B67="—"),"",案件管理!$C67)</f>
        <v/>
      </c>
      <c r="F67" s="17">
        <f>IF(OR($B67="",$B67="—"),"",案件管理!$D67)</f>
        <v/>
      </c>
      <c r="G67" s="32">
        <f>IF(OR($B67="",$B67="—"),"",案件管理!$E67)</f>
        <v/>
      </c>
      <c r="H67" s="32">
        <f>IF(OR($B67="",$B67="—"),"",案件管理!$F67)</f>
        <v/>
      </c>
      <c r="I67" s="15">
        <f>IF(OR($B67="",$B67="—"),"",案件管理!$G67)</f>
        <v/>
      </c>
      <c r="J67" s="32">
        <f>IF(OR($B67="",$B67="—"),"",案件管理!$H67)</f>
        <v/>
      </c>
      <c r="K67" s="17">
        <f>IF(OR($B67="",$B67="—"),"",案件管理!$U67)</f>
        <v/>
      </c>
      <c r="L67" s="18">
        <f>IF(OR($B67="",$B67="—"),"",案件管理!$V67)</f>
        <v/>
      </c>
      <c r="M67" s="31">
        <f>IF(OR($B67="",$B67="—"),"",IF(案件管理!$I67="×","1-1 ","")&amp;IF(案件管理!$J67="×","1-2 ","")&amp;IF(案件管理!$K67="×","1-3 ","")&amp;IF(案件管理!$L67="×","2 ","")&amp;IF(案件管理!$M67="×","3 ","")&amp;IF(案件管理!$N67="×","4 ","")&amp;IF(案件管理!$O67="×","5 ","")&amp;IF(案件管理!$P67="×","8-1 ","")&amp;IF(案件管理!$Q67="×","8-2 ","")&amp;IF(案件管理!$R67="×","9 ","")&amp;IF(案件管理!$S67="×","11 ","")&amp;IF(案件管理!$T67="×","12 ",""))</f>
        <v/>
      </c>
      <c r="N67" s="31">
        <f>IF(OR($B67="",$B67="—"),"",IF(案件管理!$I67="－","1-1 ","")&amp;IF(案件管理!$J67="－","1-2 ","")&amp;IF(案件管理!$K67="－","1-3 ","")&amp;IF(案件管理!$L67="－","2 ","")&amp;IF(案件管理!$M67="－","3 ","")&amp;IF(案件管理!$N67="－","4 ","")&amp;IF(案件管理!$O67="－","5 ","")&amp;IF(案件管理!$P67="－","8-1 ","")&amp;IF(案件管理!$Q67="－","8-2 ","")&amp;IF(案件管理!$R67="－","9 ","")&amp;IF(案件管理!$S67="－","11 ","")&amp;IF(案件管理!$T67="－","12 ",""))</f>
        <v/>
      </c>
      <c r="O67" s="31">
        <f>IF(OR($B67="",$B67="—"),"",案件管理!$AB67)</f>
        <v/>
      </c>
      <c r="P67" s="17">
        <f>IF(OR($B67="",$B67="—"),"",案件管理!$X67)</f>
        <v/>
      </c>
      <c r="Q67" s="22" t="n"/>
      <c r="R67" s="23" t="n"/>
      <c r="S67" s="20" t="n"/>
      <c r="T67" s="20" t="n"/>
    </row>
    <row r="68">
      <c r="A68" s="30" t="n"/>
      <c r="B68" s="17">
        <f>IF(案件管理!$A68="","",IF(OR($A68="✓",LEFT(案件管理!$U68,2)="A："),"◎ 上申対象",IF(LEFT(案件管理!$U68,2)="B：","△ 要相談","—")))</f>
        <v/>
      </c>
      <c r="C68" s="17">
        <f>IF(OR($B68="",$B68="—"),"",案件管理!$A68)</f>
        <v/>
      </c>
      <c r="D68" s="17">
        <f>IF(OR($B68="",$B68="—"),"",案件管理!$B68)</f>
        <v/>
      </c>
      <c r="E68" s="31">
        <f>IF(OR($B68="",$B68="—"),"",案件管理!$C68)</f>
        <v/>
      </c>
      <c r="F68" s="17">
        <f>IF(OR($B68="",$B68="—"),"",案件管理!$D68)</f>
        <v/>
      </c>
      <c r="G68" s="32">
        <f>IF(OR($B68="",$B68="—"),"",案件管理!$E68)</f>
        <v/>
      </c>
      <c r="H68" s="32">
        <f>IF(OR($B68="",$B68="—"),"",案件管理!$F68)</f>
        <v/>
      </c>
      <c r="I68" s="15">
        <f>IF(OR($B68="",$B68="—"),"",案件管理!$G68)</f>
        <v/>
      </c>
      <c r="J68" s="32">
        <f>IF(OR($B68="",$B68="—"),"",案件管理!$H68)</f>
        <v/>
      </c>
      <c r="K68" s="17">
        <f>IF(OR($B68="",$B68="—"),"",案件管理!$U68)</f>
        <v/>
      </c>
      <c r="L68" s="18">
        <f>IF(OR($B68="",$B68="—"),"",案件管理!$V68)</f>
        <v/>
      </c>
      <c r="M68" s="31">
        <f>IF(OR($B68="",$B68="—"),"",IF(案件管理!$I68="×","1-1 ","")&amp;IF(案件管理!$J68="×","1-2 ","")&amp;IF(案件管理!$K68="×","1-3 ","")&amp;IF(案件管理!$L68="×","2 ","")&amp;IF(案件管理!$M68="×","3 ","")&amp;IF(案件管理!$N68="×","4 ","")&amp;IF(案件管理!$O68="×","5 ","")&amp;IF(案件管理!$P68="×","8-1 ","")&amp;IF(案件管理!$Q68="×","8-2 ","")&amp;IF(案件管理!$R68="×","9 ","")&amp;IF(案件管理!$S68="×","11 ","")&amp;IF(案件管理!$T68="×","12 ",""))</f>
        <v/>
      </c>
      <c r="N68" s="31">
        <f>IF(OR($B68="",$B68="—"),"",IF(案件管理!$I68="－","1-1 ","")&amp;IF(案件管理!$J68="－","1-2 ","")&amp;IF(案件管理!$K68="－","1-3 ","")&amp;IF(案件管理!$L68="－","2 ","")&amp;IF(案件管理!$M68="－","3 ","")&amp;IF(案件管理!$N68="－","4 ","")&amp;IF(案件管理!$O68="－","5 ","")&amp;IF(案件管理!$P68="－","8-1 ","")&amp;IF(案件管理!$Q68="－","8-2 ","")&amp;IF(案件管理!$R68="－","9 ","")&amp;IF(案件管理!$S68="－","11 ","")&amp;IF(案件管理!$T68="－","12 ",""))</f>
        <v/>
      </c>
      <c r="O68" s="31">
        <f>IF(OR($B68="",$B68="—"),"",案件管理!$AB68)</f>
        <v/>
      </c>
      <c r="P68" s="17">
        <f>IF(OR($B68="",$B68="—"),"",案件管理!$X68)</f>
        <v/>
      </c>
      <c r="Q68" s="22" t="n"/>
      <c r="R68" s="23" t="n"/>
      <c r="S68" s="20" t="n"/>
      <c r="T68" s="20" t="n"/>
    </row>
    <row r="69">
      <c r="A69" s="30" t="n"/>
      <c r="B69" s="17">
        <f>IF(案件管理!$A69="","",IF(OR($A69="✓",LEFT(案件管理!$U69,2)="A："),"◎ 上申対象",IF(LEFT(案件管理!$U69,2)="B：","△ 要相談","—")))</f>
        <v/>
      </c>
      <c r="C69" s="17">
        <f>IF(OR($B69="",$B69="—"),"",案件管理!$A69)</f>
        <v/>
      </c>
      <c r="D69" s="17">
        <f>IF(OR($B69="",$B69="—"),"",案件管理!$B69)</f>
        <v/>
      </c>
      <c r="E69" s="31">
        <f>IF(OR($B69="",$B69="—"),"",案件管理!$C69)</f>
        <v/>
      </c>
      <c r="F69" s="17">
        <f>IF(OR($B69="",$B69="—"),"",案件管理!$D69)</f>
        <v/>
      </c>
      <c r="G69" s="32">
        <f>IF(OR($B69="",$B69="—"),"",案件管理!$E69)</f>
        <v/>
      </c>
      <c r="H69" s="32">
        <f>IF(OR($B69="",$B69="—"),"",案件管理!$F69)</f>
        <v/>
      </c>
      <c r="I69" s="15">
        <f>IF(OR($B69="",$B69="—"),"",案件管理!$G69)</f>
        <v/>
      </c>
      <c r="J69" s="32">
        <f>IF(OR($B69="",$B69="—"),"",案件管理!$H69)</f>
        <v/>
      </c>
      <c r="K69" s="17">
        <f>IF(OR($B69="",$B69="—"),"",案件管理!$U69)</f>
        <v/>
      </c>
      <c r="L69" s="18">
        <f>IF(OR($B69="",$B69="—"),"",案件管理!$V69)</f>
        <v/>
      </c>
      <c r="M69" s="31">
        <f>IF(OR($B69="",$B69="—"),"",IF(案件管理!$I69="×","1-1 ","")&amp;IF(案件管理!$J69="×","1-2 ","")&amp;IF(案件管理!$K69="×","1-3 ","")&amp;IF(案件管理!$L69="×","2 ","")&amp;IF(案件管理!$M69="×","3 ","")&amp;IF(案件管理!$N69="×","4 ","")&amp;IF(案件管理!$O69="×","5 ","")&amp;IF(案件管理!$P69="×","8-1 ","")&amp;IF(案件管理!$Q69="×","8-2 ","")&amp;IF(案件管理!$R69="×","9 ","")&amp;IF(案件管理!$S69="×","11 ","")&amp;IF(案件管理!$T69="×","12 ",""))</f>
        <v/>
      </c>
      <c r="N69" s="31">
        <f>IF(OR($B69="",$B69="—"),"",IF(案件管理!$I69="－","1-1 ","")&amp;IF(案件管理!$J69="－","1-2 ","")&amp;IF(案件管理!$K69="－","1-3 ","")&amp;IF(案件管理!$L69="－","2 ","")&amp;IF(案件管理!$M69="－","3 ","")&amp;IF(案件管理!$N69="－","4 ","")&amp;IF(案件管理!$O69="－","5 ","")&amp;IF(案件管理!$P69="－","8-1 ","")&amp;IF(案件管理!$Q69="－","8-2 ","")&amp;IF(案件管理!$R69="－","9 ","")&amp;IF(案件管理!$S69="－","11 ","")&amp;IF(案件管理!$T69="－","12 ",""))</f>
        <v/>
      </c>
      <c r="O69" s="31">
        <f>IF(OR($B69="",$B69="—"),"",案件管理!$AB69)</f>
        <v/>
      </c>
      <c r="P69" s="17">
        <f>IF(OR($B69="",$B69="—"),"",案件管理!$X69)</f>
        <v/>
      </c>
      <c r="Q69" s="22" t="n"/>
      <c r="R69" s="23" t="n"/>
      <c r="S69" s="20" t="n"/>
      <c r="T69" s="20" t="n"/>
    </row>
    <row r="70">
      <c r="A70" s="30" t="n"/>
      <c r="B70" s="17">
        <f>IF(案件管理!$A70="","",IF(OR($A70="✓",LEFT(案件管理!$U70,2)="A："),"◎ 上申対象",IF(LEFT(案件管理!$U70,2)="B：","△ 要相談","—")))</f>
        <v/>
      </c>
      <c r="C70" s="17">
        <f>IF(OR($B70="",$B70="—"),"",案件管理!$A70)</f>
        <v/>
      </c>
      <c r="D70" s="17">
        <f>IF(OR($B70="",$B70="—"),"",案件管理!$B70)</f>
        <v/>
      </c>
      <c r="E70" s="31">
        <f>IF(OR($B70="",$B70="—"),"",案件管理!$C70)</f>
        <v/>
      </c>
      <c r="F70" s="17">
        <f>IF(OR($B70="",$B70="—"),"",案件管理!$D70)</f>
        <v/>
      </c>
      <c r="G70" s="32">
        <f>IF(OR($B70="",$B70="—"),"",案件管理!$E70)</f>
        <v/>
      </c>
      <c r="H70" s="32">
        <f>IF(OR($B70="",$B70="—"),"",案件管理!$F70)</f>
        <v/>
      </c>
      <c r="I70" s="15">
        <f>IF(OR($B70="",$B70="—"),"",案件管理!$G70)</f>
        <v/>
      </c>
      <c r="J70" s="32">
        <f>IF(OR($B70="",$B70="—"),"",案件管理!$H70)</f>
        <v/>
      </c>
      <c r="K70" s="17">
        <f>IF(OR($B70="",$B70="—"),"",案件管理!$U70)</f>
        <v/>
      </c>
      <c r="L70" s="18">
        <f>IF(OR($B70="",$B70="—"),"",案件管理!$V70)</f>
        <v/>
      </c>
      <c r="M70" s="31">
        <f>IF(OR($B70="",$B70="—"),"",IF(案件管理!$I70="×","1-1 ","")&amp;IF(案件管理!$J70="×","1-2 ","")&amp;IF(案件管理!$K70="×","1-3 ","")&amp;IF(案件管理!$L70="×","2 ","")&amp;IF(案件管理!$M70="×","3 ","")&amp;IF(案件管理!$N70="×","4 ","")&amp;IF(案件管理!$O70="×","5 ","")&amp;IF(案件管理!$P70="×","8-1 ","")&amp;IF(案件管理!$Q70="×","8-2 ","")&amp;IF(案件管理!$R70="×","9 ","")&amp;IF(案件管理!$S70="×","11 ","")&amp;IF(案件管理!$T70="×","12 ",""))</f>
        <v/>
      </c>
      <c r="N70" s="31">
        <f>IF(OR($B70="",$B70="—"),"",IF(案件管理!$I70="－","1-1 ","")&amp;IF(案件管理!$J70="－","1-2 ","")&amp;IF(案件管理!$K70="－","1-3 ","")&amp;IF(案件管理!$L70="－","2 ","")&amp;IF(案件管理!$M70="－","3 ","")&amp;IF(案件管理!$N70="－","4 ","")&amp;IF(案件管理!$O70="－","5 ","")&amp;IF(案件管理!$P70="－","8-1 ","")&amp;IF(案件管理!$Q70="－","8-2 ","")&amp;IF(案件管理!$R70="－","9 ","")&amp;IF(案件管理!$S70="－","11 ","")&amp;IF(案件管理!$T70="－","12 ",""))</f>
        <v/>
      </c>
      <c r="O70" s="31">
        <f>IF(OR($B70="",$B70="—"),"",案件管理!$AB70)</f>
        <v/>
      </c>
      <c r="P70" s="17">
        <f>IF(OR($B70="",$B70="—"),"",案件管理!$X70)</f>
        <v/>
      </c>
      <c r="Q70" s="22" t="n"/>
      <c r="R70" s="23" t="n"/>
      <c r="S70" s="20" t="n"/>
      <c r="T70" s="20" t="n"/>
    </row>
    <row r="71">
      <c r="A71" s="30" t="n"/>
      <c r="B71" s="17">
        <f>IF(案件管理!$A71="","",IF(OR($A71="✓",LEFT(案件管理!$U71,2)="A："),"◎ 上申対象",IF(LEFT(案件管理!$U71,2)="B：","△ 要相談","—")))</f>
        <v/>
      </c>
      <c r="C71" s="17">
        <f>IF(OR($B71="",$B71="—"),"",案件管理!$A71)</f>
        <v/>
      </c>
      <c r="D71" s="17">
        <f>IF(OR($B71="",$B71="—"),"",案件管理!$B71)</f>
        <v/>
      </c>
      <c r="E71" s="31">
        <f>IF(OR($B71="",$B71="—"),"",案件管理!$C71)</f>
        <v/>
      </c>
      <c r="F71" s="17">
        <f>IF(OR($B71="",$B71="—"),"",案件管理!$D71)</f>
        <v/>
      </c>
      <c r="G71" s="32">
        <f>IF(OR($B71="",$B71="—"),"",案件管理!$E71)</f>
        <v/>
      </c>
      <c r="H71" s="32">
        <f>IF(OR($B71="",$B71="—"),"",案件管理!$F71)</f>
        <v/>
      </c>
      <c r="I71" s="15">
        <f>IF(OR($B71="",$B71="—"),"",案件管理!$G71)</f>
        <v/>
      </c>
      <c r="J71" s="32">
        <f>IF(OR($B71="",$B71="—"),"",案件管理!$H71)</f>
        <v/>
      </c>
      <c r="K71" s="17">
        <f>IF(OR($B71="",$B71="—"),"",案件管理!$U71)</f>
        <v/>
      </c>
      <c r="L71" s="18">
        <f>IF(OR($B71="",$B71="—"),"",案件管理!$V71)</f>
        <v/>
      </c>
      <c r="M71" s="31">
        <f>IF(OR($B71="",$B71="—"),"",IF(案件管理!$I71="×","1-1 ","")&amp;IF(案件管理!$J71="×","1-2 ","")&amp;IF(案件管理!$K71="×","1-3 ","")&amp;IF(案件管理!$L71="×","2 ","")&amp;IF(案件管理!$M71="×","3 ","")&amp;IF(案件管理!$N71="×","4 ","")&amp;IF(案件管理!$O71="×","5 ","")&amp;IF(案件管理!$P71="×","8-1 ","")&amp;IF(案件管理!$Q71="×","8-2 ","")&amp;IF(案件管理!$R71="×","9 ","")&amp;IF(案件管理!$S71="×","11 ","")&amp;IF(案件管理!$T71="×","12 ",""))</f>
        <v/>
      </c>
      <c r="N71" s="31">
        <f>IF(OR($B71="",$B71="—"),"",IF(案件管理!$I71="－","1-1 ","")&amp;IF(案件管理!$J71="－","1-2 ","")&amp;IF(案件管理!$K71="－","1-3 ","")&amp;IF(案件管理!$L71="－","2 ","")&amp;IF(案件管理!$M71="－","3 ","")&amp;IF(案件管理!$N71="－","4 ","")&amp;IF(案件管理!$O71="－","5 ","")&amp;IF(案件管理!$P71="－","8-1 ","")&amp;IF(案件管理!$Q71="－","8-2 ","")&amp;IF(案件管理!$R71="－","9 ","")&amp;IF(案件管理!$S71="－","11 ","")&amp;IF(案件管理!$T71="－","12 ",""))</f>
        <v/>
      </c>
      <c r="O71" s="31">
        <f>IF(OR($B71="",$B71="—"),"",案件管理!$AB71)</f>
        <v/>
      </c>
      <c r="P71" s="17">
        <f>IF(OR($B71="",$B71="—"),"",案件管理!$X71)</f>
        <v/>
      </c>
      <c r="Q71" s="22" t="n"/>
      <c r="R71" s="23" t="n"/>
      <c r="S71" s="20" t="n"/>
      <c r="T71" s="20" t="n"/>
    </row>
    <row r="72">
      <c r="A72" s="30" t="n"/>
      <c r="B72" s="17">
        <f>IF(案件管理!$A72="","",IF(OR($A72="✓",LEFT(案件管理!$U72,2)="A："),"◎ 上申対象",IF(LEFT(案件管理!$U72,2)="B：","△ 要相談","—")))</f>
        <v/>
      </c>
      <c r="C72" s="17">
        <f>IF(OR($B72="",$B72="—"),"",案件管理!$A72)</f>
        <v/>
      </c>
      <c r="D72" s="17">
        <f>IF(OR($B72="",$B72="—"),"",案件管理!$B72)</f>
        <v/>
      </c>
      <c r="E72" s="31">
        <f>IF(OR($B72="",$B72="—"),"",案件管理!$C72)</f>
        <v/>
      </c>
      <c r="F72" s="17">
        <f>IF(OR($B72="",$B72="—"),"",案件管理!$D72)</f>
        <v/>
      </c>
      <c r="G72" s="32">
        <f>IF(OR($B72="",$B72="—"),"",案件管理!$E72)</f>
        <v/>
      </c>
      <c r="H72" s="32">
        <f>IF(OR($B72="",$B72="—"),"",案件管理!$F72)</f>
        <v/>
      </c>
      <c r="I72" s="15">
        <f>IF(OR($B72="",$B72="—"),"",案件管理!$G72)</f>
        <v/>
      </c>
      <c r="J72" s="32">
        <f>IF(OR($B72="",$B72="—"),"",案件管理!$H72)</f>
        <v/>
      </c>
      <c r="K72" s="17">
        <f>IF(OR($B72="",$B72="—"),"",案件管理!$U72)</f>
        <v/>
      </c>
      <c r="L72" s="18">
        <f>IF(OR($B72="",$B72="—"),"",案件管理!$V72)</f>
        <v/>
      </c>
      <c r="M72" s="31">
        <f>IF(OR($B72="",$B72="—"),"",IF(案件管理!$I72="×","1-1 ","")&amp;IF(案件管理!$J72="×","1-2 ","")&amp;IF(案件管理!$K72="×","1-3 ","")&amp;IF(案件管理!$L72="×","2 ","")&amp;IF(案件管理!$M72="×","3 ","")&amp;IF(案件管理!$N72="×","4 ","")&amp;IF(案件管理!$O72="×","5 ","")&amp;IF(案件管理!$P72="×","8-1 ","")&amp;IF(案件管理!$Q72="×","8-2 ","")&amp;IF(案件管理!$R72="×","9 ","")&amp;IF(案件管理!$S72="×","11 ","")&amp;IF(案件管理!$T72="×","12 ",""))</f>
        <v/>
      </c>
      <c r="N72" s="31">
        <f>IF(OR($B72="",$B72="—"),"",IF(案件管理!$I72="－","1-1 ","")&amp;IF(案件管理!$J72="－","1-2 ","")&amp;IF(案件管理!$K72="－","1-3 ","")&amp;IF(案件管理!$L72="－","2 ","")&amp;IF(案件管理!$M72="－","3 ","")&amp;IF(案件管理!$N72="－","4 ","")&amp;IF(案件管理!$O72="－","5 ","")&amp;IF(案件管理!$P72="－","8-1 ","")&amp;IF(案件管理!$Q72="－","8-2 ","")&amp;IF(案件管理!$R72="－","9 ","")&amp;IF(案件管理!$S72="－","11 ","")&amp;IF(案件管理!$T72="－","12 ",""))</f>
        <v/>
      </c>
      <c r="O72" s="31">
        <f>IF(OR($B72="",$B72="—"),"",案件管理!$AB72)</f>
        <v/>
      </c>
      <c r="P72" s="17">
        <f>IF(OR($B72="",$B72="—"),"",案件管理!$X72)</f>
        <v/>
      </c>
      <c r="Q72" s="22" t="n"/>
      <c r="R72" s="23" t="n"/>
      <c r="S72" s="20" t="n"/>
      <c r="T72" s="20" t="n"/>
    </row>
    <row r="73">
      <c r="A73" s="30" t="n"/>
      <c r="B73" s="17">
        <f>IF(案件管理!$A73="","",IF(OR($A73="✓",LEFT(案件管理!$U73,2)="A："),"◎ 上申対象",IF(LEFT(案件管理!$U73,2)="B：","△ 要相談","—")))</f>
        <v/>
      </c>
      <c r="C73" s="17">
        <f>IF(OR($B73="",$B73="—"),"",案件管理!$A73)</f>
        <v/>
      </c>
      <c r="D73" s="17">
        <f>IF(OR($B73="",$B73="—"),"",案件管理!$B73)</f>
        <v/>
      </c>
      <c r="E73" s="31">
        <f>IF(OR($B73="",$B73="—"),"",案件管理!$C73)</f>
        <v/>
      </c>
      <c r="F73" s="17">
        <f>IF(OR($B73="",$B73="—"),"",案件管理!$D73)</f>
        <v/>
      </c>
      <c r="G73" s="32">
        <f>IF(OR($B73="",$B73="—"),"",案件管理!$E73)</f>
        <v/>
      </c>
      <c r="H73" s="32">
        <f>IF(OR($B73="",$B73="—"),"",案件管理!$F73)</f>
        <v/>
      </c>
      <c r="I73" s="15">
        <f>IF(OR($B73="",$B73="—"),"",案件管理!$G73)</f>
        <v/>
      </c>
      <c r="J73" s="32">
        <f>IF(OR($B73="",$B73="—"),"",案件管理!$H73)</f>
        <v/>
      </c>
      <c r="K73" s="17">
        <f>IF(OR($B73="",$B73="—"),"",案件管理!$U73)</f>
        <v/>
      </c>
      <c r="L73" s="18">
        <f>IF(OR($B73="",$B73="—"),"",案件管理!$V73)</f>
        <v/>
      </c>
      <c r="M73" s="31">
        <f>IF(OR($B73="",$B73="—"),"",IF(案件管理!$I73="×","1-1 ","")&amp;IF(案件管理!$J73="×","1-2 ","")&amp;IF(案件管理!$K73="×","1-3 ","")&amp;IF(案件管理!$L73="×","2 ","")&amp;IF(案件管理!$M73="×","3 ","")&amp;IF(案件管理!$N73="×","4 ","")&amp;IF(案件管理!$O73="×","5 ","")&amp;IF(案件管理!$P73="×","8-1 ","")&amp;IF(案件管理!$Q73="×","8-2 ","")&amp;IF(案件管理!$R73="×","9 ","")&amp;IF(案件管理!$S73="×","11 ","")&amp;IF(案件管理!$T73="×","12 ",""))</f>
        <v/>
      </c>
      <c r="N73" s="31">
        <f>IF(OR($B73="",$B73="—"),"",IF(案件管理!$I73="－","1-1 ","")&amp;IF(案件管理!$J73="－","1-2 ","")&amp;IF(案件管理!$K73="－","1-3 ","")&amp;IF(案件管理!$L73="－","2 ","")&amp;IF(案件管理!$M73="－","3 ","")&amp;IF(案件管理!$N73="－","4 ","")&amp;IF(案件管理!$O73="－","5 ","")&amp;IF(案件管理!$P73="－","8-1 ","")&amp;IF(案件管理!$Q73="－","8-2 ","")&amp;IF(案件管理!$R73="－","9 ","")&amp;IF(案件管理!$S73="－","11 ","")&amp;IF(案件管理!$T73="－","12 ",""))</f>
        <v/>
      </c>
      <c r="O73" s="31">
        <f>IF(OR($B73="",$B73="—"),"",案件管理!$AB73)</f>
        <v/>
      </c>
      <c r="P73" s="17">
        <f>IF(OR($B73="",$B73="—"),"",案件管理!$X73)</f>
        <v/>
      </c>
      <c r="Q73" s="22" t="n"/>
      <c r="R73" s="23" t="n"/>
      <c r="S73" s="20" t="n"/>
      <c r="T73" s="20" t="n"/>
    </row>
    <row r="74">
      <c r="A74" s="30" t="n"/>
      <c r="B74" s="17">
        <f>IF(案件管理!$A74="","",IF(OR($A74="✓",LEFT(案件管理!$U74,2)="A："),"◎ 上申対象",IF(LEFT(案件管理!$U74,2)="B：","△ 要相談","—")))</f>
        <v/>
      </c>
      <c r="C74" s="17">
        <f>IF(OR($B74="",$B74="—"),"",案件管理!$A74)</f>
        <v/>
      </c>
      <c r="D74" s="17">
        <f>IF(OR($B74="",$B74="—"),"",案件管理!$B74)</f>
        <v/>
      </c>
      <c r="E74" s="31">
        <f>IF(OR($B74="",$B74="—"),"",案件管理!$C74)</f>
        <v/>
      </c>
      <c r="F74" s="17">
        <f>IF(OR($B74="",$B74="—"),"",案件管理!$D74)</f>
        <v/>
      </c>
      <c r="G74" s="32">
        <f>IF(OR($B74="",$B74="—"),"",案件管理!$E74)</f>
        <v/>
      </c>
      <c r="H74" s="32">
        <f>IF(OR($B74="",$B74="—"),"",案件管理!$F74)</f>
        <v/>
      </c>
      <c r="I74" s="15">
        <f>IF(OR($B74="",$B74="—"),"",案件管理!$G74)</f>
        <v/>
      </c>
      <c r="J74" s="32">
        <f>IF(OR($B74="",$B74="—"),"",案件管理!$H74)</f>
        <v/>
      </c>
      <c r="K74" s="17">
        <f>IF(OR($B74="",$B74="—"),"",案件管理!$U74)</f>
        <v/>
      </c>
      <c r="L74" s="18">
        <f>IF(OR($B74="",$B74="—"),"",案件管理!$V74)</f>
        <v/>
      </c>
      <c r="M74" s="31">
        <f>IF(OR($B74="",$B74="—"),"",IF(案件管理!$I74="×","1-1 ","")&amp;IF(案件管理!$J74="×","1-2 ","")&amp;IF(案件管理!$K74="×","1-3 ","")&amp;IF(案件管理!$L74="×","2 ","")&amp;IF(案件管理!$M74="×","3 ","")&amp;IF(案件管理!$N74="×","4 ","")&amp;IF(案件管理!$O74="×","5 ","")&amp;IF(案件管理!$P74="×","8-1 ","")&amp;IF(案件管理!$Q74="×","8-2 ","")&amp;IF(案件管理!$R74="×","9 ","")&amp;IF(案件管理!$S74="×","11 ","")&amp;IF(案件管理!$T74="×","12 ",""))</f>
        <v/>
      </c>
      <c r="N74" s="31">
        <f>IF(OR($B74="",$B74="—"),"",IF(案件管理!$I74="－","1-1 ","")&amp;IF(案件管理!$J74="－","1-2 ","")&amp;IF(案件管理!$K74="－","1-3 ","")&amp;IF(案件管理!$L74="－","2 ","")&amp;IF(案件管理!$M74="－","3 ","")&amp;IF(案件管理!$N74="－","4 ","")&amp;IF(案件管理!$O74="－","5 ","")&amp;IF(案件管理!$P74="－","8-1 ","")&amp;IF(案件管理!$Q74="－","8-2 ","")&amp;IF(案件管理!$R74="－","9 ","")&amp;IF(案件管理!$S74="－","11 ","")&amp;IF(案件管理!$T74="－","12 ",""))</f>
        <v/>
      </c>
      <c r="O74" s="31">
        <f>IF(OR($B74="",$B74="—"),"",案件管理!$AB74)</f>
        <v/>
      </c>
      <c r="P74" s="17">
        <f>IF(OR($B74="",$B74="—"),"",案件管理!$X74)</f>
        <v/>
      </c>
      <c r="Q74" s="22" t="n"/>
      <c r="R74" s="23" t="n"/>
      <c r="S74" s="20" t="n"/>
      <c r="T74" s="20" t="n"/>
    </row>
    <row r="75">
      <c r="A75" s="30" t="n"/>
      <c r="B75" s="17">
        <f>IF(案件管理!$A75="","",IF(OR($A75="✓",LEFT(案件管理!$U75,2)="A："),"◎ 上申対象",IF(LEFT(案件管理!$U75,2)="B：","△ 要相談","—")))</f>
        <v/>
      </c>
      <c r="C75" s="17">
        <f>IF(OR($B75="",$B75="—"),"",案件管理!$A75)</f>
        <v/>
      </c>
      <c r="D75" s="17">
        <f>IF(OR($B75="",$B75="—"),"",案件管理!$B75)</f>
        <v/>
      </c>
      <c r="E75" s="31">
        <f>IF(OR($B75="",$B75="—"),"",案件管理!$C75)</f>
        <v/>
      </c>
      <c r="F75" s="17">
        <f>IF(OR($B75="",$B75="—"),"",案件管理!$D75)</f>
        <v/>
      </c>
      <c r="G75" s="32">
        <f>IF(OR($B75="",$B75="—"),"",案件管理!$E75)</f>
        <v/>
      </c>
      <c r="H75" s="32">
        <f>IF(OR($B75="",$B75="—"),"",案件管理!$F75)</f>
        <v/>
      </c>
      <c r="I75" s="15">
        <f>IF(OR($B75="",$B75="—"),"",案件管理!$G75)</f>
        <v/>
      </c>
      <c r="J75" s="32">
        <f>IF(OR($B75="",$B75="—"),"",案件管理!$H75)</f>
        <v/>
      </c>
      <c r="K75" s="17">
        <f>IF(OR($B75="",$B75="—"),"",案件管理!$U75)</f>
        <v/>
      </c>
      <c r="L75" s="18">
        <f>IF(OR($B75="",$B75="—"),"",案件管理!$V75)</f>
        <v/>
      </c>
      <c r="M75" s="31">
        <f>IF(OR($B75="",$B75="—"),"",IF(案件管理!$I75="×","1-1 ","")&amp;IF(案件管理!$J75="×","1-2 ","")&amp;IF(案件管理!$K75="×","1-3 ","")&amp;IF(案件管理!$L75="×","2 ","")&amp;IF(案件管理!$M75="×","3 ","")&amp;IF(案件管理!$N75="×","4 ","")&amp;IF(案件管理!$O75="×","5 ","")&amp;IF(案件管理!$P75="×","8-1 ","")&amp;IF(案件管理!$Q75="×","8-2 ","")&amp;IF(案件管理!$R75="×","9 ","")&amp;IF(案件管理!$S75="×","11 ","")&amp;IF(案件管理!$T75="×","12 ",""))</f>
        <v/>
      </c>
      <c r="N75" s="31">
        <f>IF(OR($B75="",$B75="—"),"",IF(案件管理!$I75="－","1-1 ","")&amp;IF(案件管理!$J75="－","1-2 ","")&amp;IF(案件管理!$K75="－","1-3 ","")&amp;IF(案件管理!$L75="－","2 ","")&amp;IF(案件管理!$M75="－","3 ","")&amp;IF(案件管理!$N75="－","4 ","")&amp;IF(案件管理!$O75="－","5 ","")&amp;IF(案件管理!$P75="－","8-1 ","")&amp;IF(案件管理!$Q75="－","8-2 ","")&amp;IF(案件管理!$R75="－","9 ","")&amp;IF(案件管理!$S75="－","11 ","")&amp;IF(案件管理!$T75="－","12 ",""))</f>
        <v/>
      </c>
      <c r="O75" s="31">
        <f>IF(OR($B75="",$B75="—"),"",案件管理!$AB75)</f>
        <v/>
      </c>
      <c r="P75" s="17">
        <f>IF(OR($B75="",$B75="—"),"",案件管理!$X75)</f>
        <v/>
      </c>
      <c r="Q75" s="22" t="n"/>
      <c r="R75" s="23" t="n"/>
      <c r="S75" s="20" t="n"/>
      <c r="T75" s="20" t="n"/>
    </row>
    <row r="76">
      <c r="A76" s="30" t="n"/>
      <c r="B76" s="17">
        <f>IF(案件管理!$A76="","",IF(OR($A76="✓",LEFT(案件管理!$U76,2)="A："),"◎ 上申対象",IF(LEFT(案件管理!$U76,2)="B：","△ 要相談","—")))</f>
        <v/>
      </c>
      <c r="C76" s="17">
        <f>IF(OR($B76="",$B76="—"),"",案件管理!$A76)</f>
        <v/>
      </c>
      <c r="D76" s="17">
        <f>IF(OR($B76="",$B76="—"),"",案件管理!$B76)</f>
        <v/>
      </c>
      <c r="E76" s="31">
        <f>IF(OR($B76="",$B76="—"),"",案件管理!$C76)</f>
        <v/>
      </c>
      <c r="F76" s="17">
        <f>IF(OR($B76="",$B76="—"),"",案件管理!$D76)</f>
        <v/>
      </c>
      <c r="G76" s="32">
        <f>IF(OR($B76="",$B76="—"),"",案件管理!$E76)</f>
        <v/>
      </c>
      <c r="H76" s="32">
        <f>IF(OR($B76="",$B76="—"),"",案件管理!$F76)</f>
        <v/>
      </c>
      <c r="I76" s="15">
        <f>IF(OR($B76="",$B76="—"),"",案件管理!$G76)</f>
        <v/>
      </c>
      <c r="J76" s="32">
        <f>IF(OR($B76="",$B76="—"),"",案件管理!$H76)</f>
        <v/>
      </c>
      <c r="K76" s="17">
        <f>IF(OR($B76="",$B76="—"),"",案件管理!$U76)</f>
        <v/>
      </c>
      <c r="L76" s="18">
        <f>IF(OR($B76="",$B76="—"),"",案件管理!$V76)</f>
        <v/>
      </c>
      <c r="M76" s="31">
        <f>IF(OR($B76="",$B76="—"),"",IF(案件管理!$I76="×","1-1 ","")&amp;IF(案件管理!$J76="×","1-2 ","")&amp;IF(案件管理!$K76="×","1-3 ","")&amp;IF(案件管理!$L76="×","2 ","")&amp;IF(案件管理!$M76="×","3 ","")&amp;IF(案件管理!$N76="×","4 ","")&amp;IF(案件管理!$O76="×","5 ","")&amp;IF(案件管理!$P76="×","8-1 ","")&amp;IF(案件管理!$Q76="×","8-2 ","")&amp;IF(案件管理!$R76="×","9 ","")&amp;IF(案件管理!$S76="×","11 ","")&amp;IF(案件管理!$T76="×","12 ",""))</f>
        <v/>
      </c>
      <c r="N76" s="31">
        <f>IF(OR($B76="",$B76="—"),"",IF(案件管理!$I76="－","1-1 ","")&amp;IF(案件管理!$J76="－","1-2 ","")&amp;IF(案件管理!$K76="－","1-3 ","")&amp;IF(案件管理!$L76="－","2 ","")&amp;IF(案件管理!$M76="－","3 ","")&amp;IF(案件管理!$N76="－","4 ","")&amp;IF(案件管理!$O76="－","5 ","")&amp;IF(案件管理!$P76="－","8-1 ","")&amp;IF(案件管理!$Q76="－","8-2 ","")&amp;IF(案件管理!$R76="－","9 ","")&amp;IF(案件管理!$S76="－","11 ","")&amp;IF(案件管理!$T76="－","12 ",""))</f>
        <v/>
      </c>
      <c r="O76" s="31">
        <f>IF(OR($B76="",$B76="—"),"",案件管理!$AB76)</f>
        <v/>
      </c>
      <c r="P76" s="17">
        <f>IF(OR($B76="",$B76="—"),"",案件管理!$X76)</f>
        <v/>
      </c>
      <c r="Q76" s="22" t="n"/>
      <c r="R76" s="23" t="n"/>
      <c r="S76" s="20" t="n"/>
      <c r="T76" s="20" t="n"/>
    </row>
    <row r="77">
      <c r="A77" s="30" t="n"/>
      <c r="B77" s="17">
        <f>IF(案件管理!$A77="","",IF(OR($A77="✓",LEFT(案件管理!$U77,2)="A："),"◎ 上申対象",IF(LEFT(案件管理!$U77,2)="B：","△ 要相談","—")))</f>
        <v/>
      </c>
      <c r="C77" s="17">
        <f>IF(OR($B77="",$B77="—"),"",案件管理!$A77)</f>
        <v/>
      </c>
      <c r="D77" s="17">
        <f>IF(OR($B77="",$B77="—"),"",案件管理!$B77)</f>
        <v/>
      </c>
      <c r="E77" s="31">
        <f>IF(OR($B77="",$B77="—"),"",案件管理!$C77)</f>
        <v/>
      </c>
      <c r="F77" s="17">
        <f>IF(OR($B77="",$B77="—"),"",案件管理!$D77)</f>
        <v/>
      </c>
      <c r="G77" s="32">
        <f>IF(OR($B77="",$B77="—"),"",案件管理!$E77)</f>
        <v/>
      </c>
      <c r="H77" s="32">
        <f>IF(OR($B77="",$B77="—"),"",案件管理!$F77)</f>
        <v/>
      </c>
      <c r="I77" s="15">
        <f>IF(OR($B77="",$B77="—"),"",案件管理!$G77)</f>
        <v/>
      </c>
      <c r="J77" s="32">
        <f>IF(OR($B77="",$B77="—"),"",案件管理!$H77)</f>
        <v/>
      </c>
      <c r="K77" s="17">
        <f>IF(OR($B77="",$B77="—"),"",案件管理!$U77)</f>
        <v/>
      </c>
      <c r="L77" s="18">
        <f>IF(OR($B77="",$B77="—"),"",案件管理!$V77)</f>
        <v/>
      </c>
      <c r="M77" s="31">
        <f>IF(OR($B77="",$B77="—"),"",IF(案件管理!$I77="×","1-1 ","")&amp;IF(案件管理!$J77="×","1-2 ","")&amp;IF(案件管理!$K77="×","1-3 ","")&amp;IF(案件管理!$L77="×","2 ","")&amp;IF(案件管理!$M77="×","3 ","")&amp;IF(案件管理!$N77="×","4 ","")&amp;IF(案件管理!$O77="×","5 ","")&amp;IF(案件管理!$P77="×","8-1 ","")&amp;IF(案件管理!$Q77="×","8-2 ","")&amp;IF(案件管理!$R77="×","9 ","")&amp;IF(案件管理!$S77="×","11 ","")&amp;IF(案件管理!$T77="×","12 ",""))</f>
        <v/>
      </c>
      <c r="N77" s="31">
        <f>IF(OR($B77="",$B77="—"),"",IF(案件管理!$I77="－","1-1 ","")&amp;IF(案件管理!$J77="－","1-2 ","")&amp;IF(案件管理!$K77="－","1-3 ","")&amp;IF(案件管理!$L77="－","2 ","")&amp;IF(案件管理!$M77="－","3 ","")&amp;IF(案件管理!$N77="－","4 ","")&amp;IF(案件管理!$O77="－","5 ","")&amp;IF(案件管理!$P77="－","8-1 ","")&amp;IF(案件管理!$Q77="－","8-2 ","")&amp;IF(案件管理!$R77="－","9 ","")&amp;IF(案件管理!$S77="－","11 ","")&amp;IF(案件管理!$T77="－","12 ",""))</f>
        <v/>
      </c>
      <c r="O77" s="31">
        <f>IF(OR($B77="",$B77="—"),"",案件管理!$AB77)</f>
        <v/>
      </c>
      <c r="P77" s="17">
        <f>IF(OR($B77="",$B77="—"),"",案件管理!$X77)</f>
        <v/>
      </c>
      <c r="Q77" s="22" t="n"/>
      <c r="R77" s="23" t="n"/>
      <c r="S77" s="20" t="n"/>
      <c r="T77" s="20" t="n"/>
    </row>
    <row r="78">
      <c r="A78" s="30" t="n"/>
      <c r="B78" s="17">
        <f>IF(案件管理!$A78="","",IF(OR($A78="✓",LEFT(案件管理!$U78,2)="A："),"◎ 上申対象",IF(LEFT(案件管理!$U78,2)="B：","△ 要相談","—")))</f>
        <v/>
      </c>
      <c r="C78" s="17">
        <f>IF(OR($B78="",$B78="—"),"",案件管理!$A78)</f>
        <v/>
      </c>
      <c r="D78" s="17">
        <f>IF(OR($B78="",$B78="—"),"",案件管理!$B78)</f>
        <v/>
      </c>
      <c r="E78" s="31">
        <f>IF(OR($B78="",$B78="—"),"",案件管理!$C78)</f>
        <v/>
      </c>
      <c r="F78" s="17">
        <f>IF(OR($B78="",$B78="—"),"",案件管理!$D78)</f>
        <v/>
      </c>
      <c r="G78" s="32">
        <f>IF(OR($B78="",$B78="—"),"",案件管理!$E78)</f>
        <v/>
      </c>
      <c r="H78" s="32">
        <f>IF(OR($B78="",$B78="—"),"",案件管理!$F78)</f>
        <v/>
      </c>
      <c r="I78" s="15">
        <f>IF(OR($B78="",$B78="—"),"",案件管理!$G78)</f>
        <v/>
      </c>
      <c r="J78" s="32">
        <f>IF(OR($B78="",$B78="—"),"",案件管理!$H78)</f>
        <v/>
      </c>
      <c r="K78" s="17">
        <f>IF(OR($B78="",$B78="—"),"",案件管理!$U78)</f>
        <v/>
      </c>
      <c r="L78" s="18">
        <f>IF(OR($B78="",$B78="—"),"",案件管理!$V78)</f>
        <v/>
      </c>
      <c r="M78" s="31">
        <f>IF(OR($B78="",$B78="—"),"",IF(案件管理!$I78="×","1-1 ","")&amp;IF(案件管理!$J78="×","1-2 ","")&amp;IF(案件管理!$K78="×","1-3 ","")&amp;IF(案件管理!$L78="×","2 ","")&amp;IF(案件管理!$M78="×","3 ","")&amp;IF(案件管理!$N78="×","4 ","")&amp;IF(案件管理!$O78="×","5 ","")&amp;IF(案件管理!$P78="×","8-1 ","")&amp;IF(案件管理!$Q78="×","8-2 ","")&amp;IF(案件管理!$R78="×","9 ","")&amp;IF(案件管理!$S78="×","11 ","")&amp;IF(案件管理!$T78="×","12 ",""))</f>
        <v/>
      </c>
      <c r="N78" s="31">
        <f>IF(OR($B78="",$B78="—"),"",IF(案件管理!$I78="－","1-1 ","")&amp;IF(案件管理!$J78="－","1-2 ","")&amp;IF(案件管理!$K78="－","1-3 ","")&amp;IF(案件管理!$L78="－","2 ","")&amp;IF(案件管理!$M78="－","3 ","")&amp;IF(案件管理!$N78="－","4 ","")&amp;IF(案件管理!$O78="－","5 ","")&amp;IF(案件管理!$P78="－","8-1 ","")&amp;IF(案件管理!$Q78="－","8-2 ","")&amp;IF(案件管理!$R78="－","9 ","")&amp;IF(案件管理!$S78="－","11 ","")&amp;IF(案件管理!$T78="－","12 ",""))</f>
        <v/>
      </c>
      <c r="O78" s="31">
        <f>IF(OR($B78="",$B78="—"),"",案件管理!$AB78)</f>
        <v/>
      </c>
      <c r="P78" s="17">
        <f>IF(OR($B78="",$B78="—"),"",案件管理!$X78)</f>
        <v/>
      </c>
      <c r="Q78" s="22" t="n"/>
      <c r="R78" s="23" t="n"/>
      <c r="S78" s="20" t="n"/>
      <c r="T78" s="20" t="n"/>
    </row>
    <row r="79">
      <c r="A79" s="30" t="n"/>
      <c r="B79" s="17">
        <f>IF(案件管理!$A79="","",IF(OR($A79="✓",LEFT(案件管理!$U79,2)="A："),"◎ 上申対象",IF(LEFT(案件管理!$U79,2)="B：","△ 要相談","—")))</f>
        <v/>
      </c>
      <c r="C79" s="17">
        <f>IF(OR($B79="",$B79="—"),"",案件管理!$A79)</f>
        <v/>
      </c>
      <c r="D79" s="17">
        <f>IF(OR($B79="",$B79="—"),"",案件管理!$B79)</f>
        <v/>
      </c>
      <c r="E79" s="31">
        <f>IF(OR($B79="",$B79="—"),"",案件管理!$C79)</f>
        <v/>
      </c>
      <c r="F79" s="17">
        <f>IF(OR($B79="",$B79="—"),"",案件管理!$D79)</f>
        <v/>
      </c>
      <c r="G79" s="32">
        <f>IF(OR($B79="",$B79="—"),"",案件管理!$E79)</f>
        <v/>
      </c>
      <c r="H79" s="32">
        <f>IF(OR($B79="",$B79="—"),"",案件管理!$F79)</f>
        <v/>
      </c>
      <c r="I79" s="15">
        <f>IF(OR($B79="",$B79="—"),"",案件管理!$G79)</f>
        <v/>
      </c>
      <c r="J79" s="32">
        <f>IF(OR($B79="",$B79="—"),"",案件管理!$H79)</f>
        <v/>
      </c>
      <c r="K79" s="17">
        <f>IF(OR($B79="",$B79="—"),"",案件管理!$U79)</f>
        <v/>
      </c>
      <c r="L79" s="18">
        <f>IF(OR($B79="",$B79="—"),"",案件管理!$V79)</f>
        <v/>
      </c>
      <c r="M79" s="31">
        <f>IF(OR($B79="",$B79="—"),"",IF(案件管理!$I79="×","1-1 ","")&amp;IF(案件管理!$J79="×","1-2 ","")&amp;IF(案件管理!$K79="×","1-3 ","")&amp;IF(案件管理!$L79="×","2 ","")&amp;IF(案件管理!$M79="×","3 ","")&amp;IF(案件管理!$N79="×","4 ","")&amp;IF(案件管理!$O79="×","5 ","")&amp;IF(案件管理!$P79="×","8-1 ","")&amp;IF(案件管理!$Q79="×","8-2 ","")&amp;IF(案件管理!$R79="×","9 ","")&amp;IF(案件管理!$S79="×","11 ","")&amp;IF(案件管理!$T79="×","12 ",""))</f>
        <v/>
      </c>
      <c r="N79" s="31">
        <f>IF(OR($B79="",$B79="—"),"",IF(案件管理!$I79="－","1-1 ","")&amp;IF(案件管理!$J79="－","1-2 ","")&amp;IF(案件管理!$K79="－","1-3 ","")&amp;IF(案件管理!$L79="－","2 ","")&amp;IF(案件管理!$M79="－","3 ","")&amp;IF(案件管理!$N79="－","4 ","")&amp;IF(案件管理!$O79="－","5 ","")&amp;IF(案件管理!$P79="－","8-1 ","")&amp;IF(案件管理!$Q79="－","8-2 ","")&amp;IF(案件管理!$R79="－","9 ","")&amp;IF(案件管理!$S79="－","11 ","")&amp;IF(案件管理!$T79="－","12 ",""))</f>
        <v/>
      </c>
      <c r="O79" s="31">
        <f>IF(OR($B79="",$B79="—"),"",案件管理!$AB79)</f>
        <v/>
      </c>
      <c r="P79" s="17">
        <f>IF(OR($B79="",$B79="—"),"",案件管理!$X79)</f>
        <v/>
      </c>
      <c r="Q79" s="22" t="n"/>
      <c r="R79" s="23" t="n"/>
      <c r="S79" s="20" t="n"/>
      <c r="T79" s="20" t="n"/>
    </row>
    <row r="80">
      <c r="A80" s="30" t="n"/>
      <c r="B80" s="17">
        <f>IF(案件管理!$A80="","",IF(OR($A80="✓",LEFT(案件管理!$U80,2)="A："),"◎ 上申対象",IF(LEFT(案件管理!$U80,2)="B：","△ 要相談","—")))</f>
        <v/>
      </c>
      <c r="C80" s="17">
        <f>IF(OR($B80="",$B80="—"),"",案件管理!$A80)</f>
        <v/>
      </c>
      <c r="D80" s="17">
        <f>IF(OR($B80="",$B80="—"),"",案件管理!$B80)</f>
        <v/>
      </c>
      <c r="E80" s="31">
        <f>IF(OR($B80="",$B80="—"),"",案件管理!$C80)</f>
        <v/>
      </c>
      <c r="F80" s="17">
        <f>IF(OR($B80="",$B80="—"),"",案件管理!$D80)</f>
        <v/>
      </c>
      <c r="G80" s="32">
        <f>IF(OR($B80="",$B80="—"),"",案件管理!$E80)</f>
        <v/>
      </c>
      <c r="H80" s="32">
        <f>IF(OR($B80="",$B80="—"),"",案件管理!$F80)</f>
        <v/>
      </c>
      <c r="I80" s="15">
        <f>IF(OR($B80="",$B80="—"),"",案件管理!$G80)</f>
        <v/>
      </c>
      <c r="J80" s="32">
        <f>IF(OR($B80="",$B80="—"),"",案件管理!$H80)</f>
        <v/>
      </c>
      <c r="K80" s="17">
        <f>IF(OR($B80="",$B80="—"),"",案件管理!$U80)</f>
        <v/>
      </c>
      <c r="L80" s="18">
        <f>IF(OR($B80="",$B80="—"),"",案件管理!$V80)</f>
        <v/>
      </c>
      <c r="M80" s="31">
        <f>IF(OR($B80="",$B80="—"),"",IF(案件管理!$I80="×","1-1 ","")&amp;IF(案件管理!$J80="×","1-2 ","")&amp;IF(案件管理!$K80="×","1-3 ","")&amp;IF(案件管理!$L80="×","2 ","")&amp;IF(案件管理!$M80="×","3 ","")&amp;IF(案件管理!$N80="×","4 ","")&amp;IF(案件管理!$O80="×","5 ","")&amp;IF(案件管理!$P80="×","8-1 ","")&amp;IF(案件管理!$Q80="×","8-2 ","")&amp;IF(案件管理!$R80="×","9 ","")&amp;IF(案件管理!$S80="×","11 ","")&amp;IF(案件管理!$T80="×","12 ",""))</f>
        <v/>
      </c>
      <c r="N80" s="31">
        <f>IF(OR($B80="",$B80="—"),"",IF(案件管理!$I80="－","1-1 ","")&amp;IF(案件管理!$J80="－","1-2 ","")&amp;IF(案件管理!$K80="－","1-3 ","")&amp;IF(案件管理!$L80="－","2 ","")&amp;IF(案件管理!$M80="－","3 ","")&amp;IF(案件管理!$N80="－","4 ","")&amp;IF(案件管理!$O80="－","5 ","")&amp;IF(案件管理!$P80="－","8-1 ","")&amp;IF(案件管理!$Q80="－","8-2 ","")&amp;IF(案件管理!$R80="－","9 ","")&amp;IF(案件管理!$S80="－","11 ","")&amp;IF(案件管理!$T80="－","12 ",""))</f>
        <v/>
      </c>
      <c r="O80" s="31">
        <f>IF(OR($B80="",$B80="—"),"",案件管理!$AB80)</f>
        <v/>
      </c>
      <c r="P80" s="17">
        <f>IF(OR($B80="",$B80="—"),"",案件管理!$X80)</f>
        <v/>
      </c>
      <c r="Q80" s="22" t="n"/>
      <c r="R80" s="23" t="n"/>
      <c r="S80" s="20" t="n"/>
      <c r="T80" s="20" t="n"/>
    </row>
    <row r="81">
      <c r="A81" s="30" t="n"/>
      <c r="B81" s="17">
        <f>IF(案件管理!$A81="","",IF(OR($A81="✓",LEFT(案件管理!$U81,2)="A："),"◎ 上申対象",IF(LEFT(案件管理!$U81,2)="B：","△ 要相談","—")))</f>
        <v/>
      </c>
      <c r="C81" s="17">
        <f>IF(OR($B81="",$B81="—"),"",案件管理!$A81)</f>
        <v/>
      </c>
      <c r="D81" s="17">
        <f>IF(OR($B81="",$B81="—"),"",案件管理!$B81)</f>
        <v/>
      </c>
      <c r="E81" s="31">
        <f>IF(OR($B81="",$B81="—"),"",案件管理!$C81)</f>
        <v/>
      </c>
      <c r="F81" s="17">
        <f>IF(OR($B81="",$B81="—"),"",案件管理!$D81)</f>
        <v/>
      </c>
      <c r="G81" s="32">
        <f>IF(OR($B81="",$B81="—"),"",案件管理!$E81)</f>
        <v/>
      </c>
      <c r="H81" s="32">
        <f>IF(OR($B81="",$B81="—"),"",案件管理!$F81)</f>
        <v/>
      </c>
      <c r="I81" s="15">
        <f>IF(OR($B81="",$B81="—"),"",案件管理!$G81)</f>
        <v/>
      </c>
      <c r="J81" s="32">
        <f>IF(OR($B81="",$B81="—"),"",案件管理!$H81)</f>
        <v/>
      </c>
      <c r="K81" s="17">
        <f>IF(OR($B81="",$B81="—"),"",案件管理!$U81)</f>
        <v/>
      </c>
      <c r="L81" s="18">
        <f>IF(OR($B81="",$B81="—"),"",案件管理!$V81)</f>
        <v/>
      </c>
      <c r="M81" s="31">
        <f>IF(OR($B81="",$B81="—"),"",IF(案件管理!$I81="×","1-1 ","")&amp;IF(案件管理!$J81="×","1-2 ","")&amp;IF(案件管理!$K81="×","1-3 ","")&amp;IF(案件管理!$L81="×","2 ","")&amp;IF(案件管理!$M81="×","3 ","")&amp;IF(案件管理!$N81="×","4 ","")&amp;IF(案件管理!$O81="×","5 ","")&amp;IF(案件管理!$P81="×","8-1 ","")&amp;IF(案件管理!$Q81="×","8-2 ","")&amp;IF(案件管理!$R81="×","9 ","")&amp;IF(案件管理!$S81="×","11 ","")&amp;IF(案件管理!$T81="×","12 ",""))</f>
        <v/>
      </c>
      <c r="N81" s="31">
        <f>IF(OR($B81="",$B81="—"),"",IF(案件管理!$I81="－","1-1 ","")&amp;IF(案件管理!$J81="－","1-2 ","")&amp;IF(案件管理!$K81="－","1-3 ","")&amp;IF(案件管理!$L81="－","2 ","")&amp;IF(案件管理!$M81="－","3 ","")&amp;IF(案件管理!$N81="－","4 ","")&amp;IF(案件管理!$O81="－","5 ","")&amp;IF(案件管理!$P81="－","8-1 ","")&amp;IF(案件管理!$Q81="－","8-2 ","")&amp;IF(案件管理!$R81="－","9 ","")&amp;IF(案件管理!$S81="－","11 ","")&amp;IF(案件管理!$T81="－","12 ",""))</f>
        <v/>
      </c>
      <c r="O81" s="31">
        <f>IF(OR($B81="",$B81="—"),"",案件管理!$AB81)</f>
        <v/>
      </c>
      <c r="P81" s="17">
        <f>IF(OR($B81="",$B81="—"),"",案件管理!$X81)</f>
        <v/>
      </c>
      <c r="Q81" s="22" t="n"/>
      <c r="R81" s="23" t="n"/>
      <c r="S81" s="20" t="n"/>
      <c r="T81" s="20" t="n"/>
    </row>
    <row r="82">
      <c r="A82" s="30" t="n"/>
      <c r="B82" s="17">
        <f>IF(案件管理!$A82="","",IF(OR($A82="✓",LEFT(案件管理!$U82,2)="A："),"◎ 上申対象",IF(LEFT(案件管理!$U82,2)="B：","△ 要相談","—")))</f>
        <v/>
      </c>
      <c r="C82" s="17">
        <f>IF(OR($B82="",$B82="—"),"",案件管理!$A82)</f>
        <v/>
      </c>
      <c r="D82" s="17">
        <f>IF(OR($B82="",$B82="—"),"",案件管理!$B82)</f>
        <v/>
      </c>
      <c r="E82" s="31">
        <f>IF(OR($B82="",$B82="—"),"",案件管理!$C82)</f>
        <v/>
      </c>
      <c r="F82" s="17">
        <f>IF(OR($B82="",$B82="—"),"",案件管理!$D82)</f>
        <v/>
      </c>
      <c r="G82" s="32">
        <f>IF(OR($B82="",$B82="—"),"",案件管理!$E82)</f>
        <v/>
      </c>
      <c r="H82" s="32">
        <f>IF(OR($B82="",$B82="—"),"",案件管理!$F82)</f>
        <v/>
      </c>
      <c r="I82" s="15">
        <f>IF(OR($B82="",$B82="—"),"",案件管理!$G82)</f>
        <v/>
      </c>
      <c r="J82" s="32">
        <f>IF(OR($B82="",$B82="—"),"",案件管理!$H82)</f>
        <v/>
      </c>
      <c r="K82" s="17">
        <f>IF(OR($B82="",$B82="—"),"",案件管理!$U82)</f>
        <v/>
      </c>
      <c r="L82" s="18">
        <f>IF(OR($B82="",$B82="—"),"",案件管理!$V82)</f>
        <v/>
      </c>
      <c r="M82" s="31">
        <f>IF(OR($B82="",$B82="—"),"",IF(案件管理!$I82="×","1-1 ","")&amp;IF(案件管理!$J82="×","1-2 ","")&amp;IF(案件管理!$K82="×","1-3 ","")&amp;IF(案件管理!$L82="×","2 ","")&amp;IF(案件管理!$M82="×","3 ","")&amp;IF(案件管理!$N82="×","4 ","")&amp;IF(案件管理!$O82="×","5 ","")&amp;IF(案件管理!$P82="×","8-1 ","")&amp;IF(案件管理!$Q82="×","8-2 ","")&amp;IF(案件管理!$R82="×","9 ","")&amp;IF(案件管理!$S82="×","11 ","")&amp;IF(案件管理!$T82="×","12 ",""))</f>
        <v/>
      </c>
      <c r="N82" s="31">
        <f>IF(OR($B82="",$B82="—"),"",IF(案件管理!$I82="－","1-1 ","")&amp;IF(案件管理!$J82="－","1-2 ","")&amp;IF(案件管理!$K82="－","1-3 ","")&amp;IF(案件管理!$L82="－","2 ","")&amp;IF(案件管理!$M82="－","3 ","")&amp;IF(案件管理!$N82="－","4 ","")&amp;IF(案件管理!$O82="－","5 ","")&amp;IF(案件管理!$P82="－","8-1 ","")&amp;IF(案件管理!$Q82="－","8-2 ","")&amp;IF(案件管理!$R82="－","9 ","")&amp;IF(案件管理!$S82="－","11 ","")&amp;IF(案件管理!$T82="－","12 ",""))</f>
        <v/>
      </c>
      <c r="O82" s="31">
        <f>IF(OR($B82="",$B82="—"),"",案件管理!$AB82)</f>
        <v/>
      </c>
      <c r="P82" s="17">
        <f>IF(OR($B82="",$B82="—"),"",案件管理!$X82)</f>
        <v/>
      </c>
      <c r="Q82" s="22" t="n"/>
      <c r="R82" s="23" t="n"/>
      <c r="S82" s="20" t="n"/>
      <c r="T82" s="20" t="n"/>
    </row>
    <row r="83">
      <c r="A83" s="30" t="n"/>
      <c r="B83" s="17">
        <f>IF(案件管理!$A83="","",IF(OR($A83="✓",LEFT(案件管理!$U83,2)="A："),"◎ 上申対象",IF(LEFT(案件管理!$U83,2)="B：","△ 要相談","—")))</f>
        <v/>
      </c>
      <c r="C83" s="17">
        <f>IF(OR($B83="",$B83="—"),"",案件管理!$A83)</f>
        <v/>
      </c>
      <c r="D83" s="17">
        <f>IF(OR($B83="",$B83="—"),"",案件管理!$B83)</f>
        <v/>
      </c>
      <c r="E83" s="31">
        <f>IF(OR($B83="",$B83="—"),"",案件管理!$C83)</f>
        <v/>
      </c>
      <c r="F83" s="17">
        <f>IF(OR($B83="",$B83="—"),"",案件管理!$D83)</f>
        <v/>
      </c>
      <c r="G83" s="32">
        <f>IF(OR($B83="",$B83="—"),"",案件管理!$E83)</f>
        <v/>
      </c>
      <c r="H83" s="32">
        <f>IF(OR($B83="",$B83="—"),"",案件管理!$F83)</f>
        <v/>
      </c>
      <c r="I83" s="15">
        <f>IF(OR($B83="",$B83="—"),"",案件管理!$G83)</f>
        <v/>
      </c>
      <c r="J83" s="32">
        <f>IF(OR($B83="",$B83="—"),"",案件管理!$H83)</f>
        <v/>
      </c>
      <c r="K83" s="17">
        <f>IF(OR($B83="",$B83="—"),"",案件管理!$U83)</f>
        <v/>
      </c>
      <c r="L83" s="18">
        <f>IF(OR($B83="",$B83="—"),"",案件管理!$V83)</f>
        <v/>
      </c>
      <c r="M83" s="31">
        <f>IF(OR($B83="",$B83="—"),"",IF(案件管理!$I83="×","1-1 ","")&amp;IF(案件管理!$J83="×","1-2 ","")&amp;IF(案件管理!$K83="×","1-3 ","")&amp;IF(案件管理!$L83="×","2 ","")&amp;IF(案件管理!$M83="×","3 ","")&amp;IF(案件管理!$N83="×","4 ","")&amp;IF(案件管理!$O83="×","5 ","")&amp;IF(案件管理!$P83="×","8-1 ","")&amp;IF(案件管理!$Q83="×","8-2 ","")&amp;IF(案件管理!$R83="×","9 ","")&amp;IF(案件管理!$S83="×","11 ","")&amp;IF(案件管理!$T83="×","12 ",""))</f>
        <v/>
      </c>
      <c r="N83" s="31">
        <f>IF(OR($B83="",$B83="—"),"",IF(案件管理!$I83="－","1-1 ","")&amp;IF(案件管理!$J83="－","1-2 ","")&amp;IF(案件管理!$K83="－","1-3 ","")&amp;IF(案件管理!$L83="－","2 ","")&amp;IF(案件管理!$M83="－","3 ","")&amp;IF(案件管理!$N83="－","4 ","")&amp;IF(案件管理!$O83="－","5 ","")&amp;IF(案件管理!$P83="－","8-1 ","")&amp;IF(案件管理!$Q83="－","8-2 ","")&amp;IF(案件管理!$R83="－","9 ","")&amp;IF(案件管理!$S83="－","11 ","")&amp;IF(案件管理!$T83="－","12 ",""))</f>
        <v/>
      </c>
      <c r="O83" s="31">
        <f>IF(OR($B83="",$B83="—"),"",案件管理!$AB83)</f>
        <v/>
      </c>
      <c r="P83" s="17">
        <f>IF(OR($B83="",$B83="—"),"",案件管理!$X83)</f>
        <v/>
      </c>
      <c r="Q83" s="22" t="n"/>
      <c r="R83" s="23" t="n"/>
      <c r="S83" s="20" t="n"/>
      <c r="T83" s="20" t="n"/>
    </row>
    <row r="84">
      <c r="A84" s="30" t="n"/>
      <c r="B84" s="17">
        <f>IF(案件管理!$A84="","",IF(OR($A84="✓",LEFT(案件管理!$U84,2)="A："),"◎ 上申対象",IF(LEFT(案件管理!$U84,2)="B：","△ 要相談","—")))</f>
        <v/>
      </c>
      <c r="C84" s="17">
        <f>IF(OR($B84="",$B84="—"),"",案件管理!$A84)</f>
        <v/>
      </c>
      <c r="D84" s="17">
        <f>IF(OR($B84="",$B84="—"),"",案件管理!$B84)</f>
        <v/>
      </c>
      <c r="E84" s="31">
        <f>IF(OR($B84="",$B84="—"),"",案件管理!$C84)</f>
        <v/>
      </c>
      <c r="F84" s="17">
        <f>IF(OR($B84="",$B84="—"),"",案件管理!$D84)</f>
        <v/>
      </c>
      <c r="G84" s="32">
        <f>IF(OR($B84="",$B84="—"),"",案件管理!$E84)</f>
        <v/>
      </c>
      <c r="H84" s="32">
        <f>IF(OR($B84="",$B84="—"),"",案件管理!$F84)</f>
        <v/>
      </c>
      <c r="I84" s="15">
        <f>IF(OR($B84="",$B84="—"),"",案件管理!$G84)</f>
        <v/>
      </c>
      <c r="J84" s="32">
        <f>IF(OR($B84="",$B84="—"),"",案件管理!$H84)</f>
        <v/>
      </c>
      <c r="K84" s="17">
        <f>IF(OR($B84="",$B84="—"),"",案件管理!$U84)</f>
        <v/>
      </c>
      <c r="L84" s="18">
        <f>IF(OR($B84="",$B84="—"),"",案件管理!$V84)</f>
        <v/>
      </c>
      <c r="M84" s="31">
        <f>IF(OR($B84="",$B84="—"),"",IF(案件管理!$I84="×","1-1 ","")&amp;IF(案件管理!$J84="×","1-2 ","")&amp;IF(案件管理!$K84="×","1-3 ","")&amp;IF(案件管理!$L84="×","2 ","")&amp;IF(案件管理!$M84="×","3 ","")&amp;IF(案件管理!$N84="×","4 ","")&amp;IF(案件管理!$O84="×","5 ","")&amp;IF(案件管理!$P84="×","8-1 ","")&amp;IF(案件管理!$Q84="×","8-2 ","")&amp;IF(案件管理!$R84="×","9 ","")&amp;IF(案件管理!$S84="×","11 ","")&amp;IF(案件管理!$T84="×","12 ",""))</f>
        <v/>
      </c>
      <c r="N84" s="31">
        <f>IF(OR($B84="",$B84="—"),"",IF(案件管理!$I84="－","1-1 ","")&amp;IF(案件管理!$J84="－","1-2 ","")&amp;IF(案件管理!$K84="－","1-3 ","")&amp;IF(案件管理!$L84="－","2 ","")&amp;IF(案件管理!$M84="－","3 ","")&amp;IF(案件管理!$N84="－","4 ","")&amp;IF(案件管理!$O84="－","5 ","")&amp;IF(案件管理!$P84="－","8-1 ","")&amp;IF(案件管理!$Q84="－","8-2 ","")&amp;IF(案件管理!$R84="－","9 ","")&amp;IF(案件管理!$S84="－","11 ","")&amp;IF(案件管理!$T84="－","12 ",""))</f>
        <v/>
      </c>
      <c r="O84" s="31">
        <f>IF(OR($B84="",$B84="—"),"",案件管理!$AB84)</f>
        <v/>
      </c>
      <c r="P84" s="17">
        <f>IF(OR($B84="",$B84="—"),"",案件管理!$X84)</f>
        <v/>
      </c>
      <c r="Q84" s="22" t="n"/>
      <c r="R84" s="23" t="n"/>
      <c r="S84" s="20" t="n"/>
      <c r="T84" s="20" t="n"/>
    </row>
    <row r="85">
      <c r="A85" s="30" t="n"/>
      <c r="B85" s="17">
        <f>IF(案件管理!$A85="","",IF(OR($A85="✓",LEFT(案件管理!$U85,2)="A："),"◎ 上申対象",IF(LEFT(案件管理!$U85,2)="B：","△ 要相談","—")))</f>
        <v/>
      </c>
      <c r="C85" s="17">
        <f>IF(OR($B85="",$B85="—"),"",案件管理!$A85)</f>
        <v/>
      </c>
      <c r="D85" s="17">
        <f>IF(OR($B85="",$B85="—"),"",案件管理!$B85)</f>
        <v/>
      </c>
      <c r="E85" s="31">
        <f>IF(OR($B85="",$B85="—"),"",案件管理!$C85)</f>
        <v/>
      </c>
      <c r="F85" s="17">
        <f>IF(OR($B85="",$B85="—"),"",案件管理!$D85)</f>
        <v/>
      </c>
      <c r="G85" s="32">
        <f>IF(OR($B85="",$B85="—"),"",案件管理!$E85)</f>
        <v/>
      </c>
      <c r="H85" s="32">
        <f>IF(OR($B85="",$B85="—"),"",案件管理!$F85)</f>
        <v/>
      </c>
      <c r="I85" s="15">
        <f>IF(OR($B85="",$B85="—"),"",案件管理!$G85)</f>
        <v/>
      </c>
      <c r="J85" s="32">
        <f>IF(OR($B85="",$B85="—"),"",案件管理!$H85)</f>
        <v/>
      </c>
      <c r="K85" s="17">
        <f>IF(OR($B85="",$B85="—"),"",案件管理!$U85)</f>
        <v/>
      </c>
      <c r="L85" s="18">
        <f>IF(OR($B85="",$B85="—"),"",案件管理!$V85)</f>
        <v/>
      </c>
      <c r="M85" s="31">
        <f>IF(OR($B85="",$B85="—"),"",IF(案件管理!$I85="×","1-1 ","")&amp;IF(案件管理!$J85="×","1-2 ","")&amp;IF(案件管理!$K85="×","1-3 ","")&amp;IF(案件管理!$L85="×","2 ","")&amp;IF(案件管理!$M85="×","3 ","")&amp;IF(案件管理!$N85="×","4 ","")&amp;IF(案件管理!$O85="×","5 ","")&amp;IF(案件管理!$P85="×","8-1 ","")&amp;IF(案件管理!$Q85="×","8-2 ","")&amp;IF(案件管理!$R85="×","9 ","")&amp;IF(案件管理!$S85="×","11 ","")&amp;IF(案件管理!$T85="×","12 ",""))</f>
        <v/>
      </c>
      <c r="N85" s="31">
        <f>IF(OR($B85="",$B85="—"),"",IF(案件管理!$I85="－","1-1 ","")&amp;IF(案件管理!$J85="－","1-2 ","")&amp;IF(案件管理!$K85="－","1-3 ","")&amp;IF(案件管理!$L85="－","2 ","")&amp;IF(案件管理!$M85="－","3 ","")&amp;IF(案件管理!$N85="－","4 ","")&amp;IF(案件管理!$O85="－","5 ","")&amp;IF(案件管理!$P85="－","8-1 ","")&amp;IF(案件管理!$Q85="－","8-2 ","")&amp;IF(案件管理!$R85="－","9 ","")&amp;IF(案件管理!$S85="－","11 ","")&amp;IF(案件管理!$T85="－","12 ",""))</f>
        <v/>
      </c>
      <c r="O85" s="31">
        <f>IF(OR($B85="",$B85="—"),"",案件管理!$AB85)</f>
        <v/>
      </c>
      <c r="P85" s="17">
        <f>IF(OR($B85="",$B85="—"),"",案件管理!$X85)</f>
        <v/>
      </c>
      <c r="Q85" s="22" t="n"/>
      <c r="R85" s="23" t="n"/>
      <c r="S85" s="20" t="n"/>
      <c r="T85" s="20" t="n"/>
    </row>
    <row r="86">
      <c r="A86" s="30" t="n"/>
      <c r="B86" s="17">
        <f>IF(案件管理!$A86="","",IF(OR($A86="✓",LEFT(案件管理!$U86,2)="A："),"◎ 上申対象",IF(LEFT(案件管理!$U86,2)="B：","△ 要相談","—")))</f>
        <v/>
      </c>
      <c r="C86" s="17">
        <f>IF(OR($B86="",$B86="—"),"",案件管理!$A86)</f>
        <v/>
      </c>
      <c r="D86" s="17">
        <f>IF(OR($B86="",$B86="—"),"",案件管理!$B86)</f>
        <v/>
      </c>
      <c r="E86" s="31">
        <f>IF(OR($B86="",$B86="—"),"",案件管理!$C86)</f>
        <v/>
      </c>
      <c r="F86" s="17">
        <f>IF(OR($B86="",$B86="—"),"",案件管理!$D86)</f>
        <v/>
      </c>
      <c r="G86" s="32">
        <f>IF(OR($B86="",$B86="—"),"",案件管理!$E86)</f>
        <v/>
      </c>
      <c r="H86" s="32">
        <f>IF(OR($B86="",$B86="—"),"",案件管理!$F86)</f>
        <v/>
      </c>
      <c r="I86" s="15">
        <f>IF(OR($B86="",$B86="—"),"",案件管理!$G86)</f>
        <v/>
      </c>
      <c r="J86" s="32">
        <f>IF(OR($B86="",$B86="—"),"",案件管理!$H86)</f>
        <v/>
      </c>
      <c r="K86" s="17">
        <f>IF(OR($B86="",$B86="—"),"",案件管理!$U86)</f>
        <v/>
      </c>
      <c r="L86" s="18">
        <f>IF(OR($B86="",$B86="—"),"",案件管理!$V86)</f>
        <v/>
      </c>
      <c r="M86" s="31">
        <f>IF(OR($B86="",$B86="—"),"",IF(案件管理!$I86="×","1-1 ","")&amp;IF(案件管理!$J86="×","1-2 ","")&amp;IF(案件管理!$K86="×","1-3 ","")&amp;IF(案件管理!$L86="×","2 ","")&amp;IF(案件管理!$M86="×","3 ","")&amp;IF(案件管理!$N86="×","4 ","")&amp;IF(案件管理!$O86="×","5 ","")&amp;IF(案件管理!$P86="×","8-1 ","")&amp;IF(案件管理!$Q86="×","8-2 ","")&amp;IF(案件管理!$R86="×","9 ","")&amp;IF(案件管理!$S86="×","11 ","")&amp;IF(案件管理!$T86="×","12 ",""))</f>
        <v/>
      </c>
      <c r="N86" s="31">
        <f>IF(OR($B86="",$B86="—"),"",IF(案件管理!$I86="－","1-1 ","")&amp;IF(案件管理!$J86="－","1-2 ","")&amp;IF(案件管理!$K86="－","1-3 ","")&amp;IF(案件管理!$L86="－","2 ","")&amp;IF(案件管理!$M86="－","3 ","")&amp;IF(案件管理!$N86="－","4 ","")&amp;IF(案件管理!$O86="－","5 ","")&amp;IF(案件管理!$P86="－","8-1 ","")&amp;IF(案件管理!$Q86="－","8-2 ","")&amp;IF(案件管理!$R86="－","9 ","")&amp;IF(案件管理!$S86="－","11 ","")&amp;IF(案件管理!$T86="－","12 ",""))</f>
        <v/>
      </c>
      <c r="O86" s="31">
        <f>IF(OR($B86="",$B86="—"),"",案件管理!$AB86)</f>
        <v/>
      </c>
      <c r="P86" s="17">
        <f>IF(OR($B86="",$B86="—"),"",案件管理!$X86)</f>
        <v/>
      </c>
      <c r="Q86" s="22" t="n"/>
      <c r="R86" s="23" t="n"/>
      <c r="S86" s="20" t="n"/>
      <c r="T86" s="20" t="n"/>
    </row>
    <row r="87">
      <c r="A87" s="30" t="n"/>
      <c r="B87" s="17">
        <f>IF(案件管理!$A87="","",IF(OR($A87="✓",LEFT(案件管理!$U87,2)="A："),"◎ 上申対象",IF(LEFT(案件管理!$U87,2)="B：","△ 要相談","—")))</f>
        <v/>
      </c>
      <c r="C87" s="17">
        <f>IF(OR($B87="",$B87="—"),"",案件管理!$A87)</f>
        <v/>
      </c>
      <c r="D87" s="17">
        <f>IF(OR($B87="",$B87="—"),"",案件管理!$B87)</f>
        <v/>
      </c>
      <c r="E87" s="31">
        <f>IF(OR($B87="",$B87="—"),"",案件管理!$C87)</f>
        <v/>
      </c>
      <c r="F87" s="17">
        <f>IF(OR($B87="",$B87="—"),"",案件管理!$D87)</f>
        <v/>
      </c>
      <c r="G87" s="32">
        <f>IF(OR($B87="",$B87="—"),"",案件管理!$E87)</f>
        <v/>
      </c>
      <c r="H87" s="32">
        <f>IF(OR($B87="",$B87="—"),"",案件管理!$F87)</f>
        <v/>
      </c>
      <c r="I87" s="15">
        <f>IF(OR($B87="",$B87="—"),"",案件管理!$G87)</f>
        <v/>
      </c>
      <c r="J87" s="32">
        <f>IF(OR($B87="",$B87="—"),"",案件管理!$H87)</f>
        <v/>
      </c>
      <c r="K87" s="17">
        <f>IF(OR($B87="",$B87="—"),"",案件管理!$U87)</f>
        <v/>
      </c>
      <c r="L87" s="18">
        <f>IF(OR($B87="",$B87="—"),"",案件管理!$V87)</f>
        <v/>
      </c>
      <c r="M87" s="31">
        <f>IF(OR($B87="",$B87="—"),"",IF(案件管理!$I87="×","1-1 ","")&amp;IF(案件管理!$J87="×","1-2 ","")&amp;IF(案件管理!$K87="×","1-3 ","")&amp;IF(案件管理!$L87="×","2 ","")&amp;IF(案件管理!$M87="×","3 ","")&amp;IF(案件管理!$N87="×","4 ","")&amp;IF(案件管理!$O87="×","5 ","")&amp;IF(案件管理!$P87="×","8-1 ","")&amp;IF(案件管理!$Q87="×","8-2 ","")&amp;IF(案件管理!$R87="×","9 ","")&amp;IF(案件管理!$S87="×","11 ","")&amp;IF(案件管理!$T87="×","12 ",""))</f>
        <v/>
      </c>
      <c r="N87" s="31">
        <f>IF(OR($B87="",$B87="—"),"",IF(案件管理!$I87="－","1-1 ","")&amp;IF(案件管理!$J87="－","1-2 ","")&amp;IF(案件管理!$K87="－","1-3 ","")&amp;IF(案件管理!$L87="－","2 ","")&amp;IF(案件管理!$M87="－","3 ","")&amp;IF(案件管理!$N87="－","4 ","")&amp;IF(案件管理!$O87="－","5 ","")&amp;IF(案件管理!$P87="－","8-1 ","")&amp;IF(案件管理!$Q87="－","8-2 ","")&amp;IF(案件管理!$R87="－","9 ","")&amp;IF(案件管理!$S87="－","11 ","")&amp;IF(案件管理!$T87="－","12 ",""))</f>
        <v/>
      </c>
      <c r="O87" s="31">
        <f>IF(OR($B87="",$B87="—"),"",案件管理!$AB87)</f>
        <v/>
      </c>
      <c r="P87" s="17">
        <f>IF(OR($B87="",$B87="—"),"",案件管理!$X87)</f>
        <v/>
      </c>
      <c r="Q87" s="22" t="n"/>
      <c r="R87" s="23" t="n"/>
      <c r="S87" s="20" t="n"/>
      <c r="T87" s="20" t="n"/>
    </row>
    <row r="88">
      <c r="A88" s="30" t="n"/>
      <c r="B88" s="17">
        <f>IF(案件管理!$A88="","",IF(OR($A88="✓",LEFT(案件管理!$U88,2)="A："),"◎ 上申対象",IF(LEFT(案件管理!$U88,2)="B：","△ 要相談","—")))</f>
        <v/>
      </c>
      <c r="C88" s="17">
        <f>IF(OR($B88="",$B88="—"),"",案件管理!$A88)</f>
        <v/>
      </c>
      <c r="D88" s="17">
        <f>IF(OR($B88="",$B88="—"),"",案件管理!$B88)</f>
        <v/>
      </c>
      <c r="E88" s="31">
        <f>IF(OR($B88="",$B88="—"),"",案件管理!$C88)</f>
        <v/>
      </c>
      <c r="F88" s="17">
        <f>IF(OR($B88="",$B88="—"),"",案件管理!$D88)</f>
        <v/>
      </c>
      <c r="G88" s="32">
        <f>IF(OR($B88="",$B88="—"),"",案件管理!$E88)</f>
        <v/>
      </c>
      <c r="H88" s="32">
        <f>IF(OR($B88="",$B88="—"),"",案件管理!$F88)</f>
        <v/>
      </c>
      <c r="I88" s="15">
        <f>IF(OR($B88="",$B88="—"),"",案件管理!$G88)</f>
        <v/>
      </c>
      <c r="J88" s="32">
        <f>IF(OR($B88="",$B88="—"),"",案件管理!$H88)</f>
        <v/>
      </c>
      <c r="K88" s="17">
        <f>IF(OR($B88="",$B88="—"),"",案件管理!$U88)</f>
        <v/>
      </c>
      <c r="L88" s="18">
        <f>IF(OR($B88="",$B88="—"),"",案件管理!$V88)</f>
        <v/>
      </c>
      <c r="M88" s="31">
        <f>IF(OR($B88="",$B88="—"),"",IF(案件管理!$I88="×","1-1 ","")&amp;IF(案件管理!$J88="×","1-2 ","")&amp;IF(案件管理!$K88="×","1-3 ","")&amp;IF(案件管理!$L88="×","2 ","")&amp;IF(案件管理!$M88="×","3 ","")&amp;IF(案件管理!$N88="×","4 ","")&amp;IF(案件管理!$O88="×","5 ","")&amp;IF(案件管理!$P88="×","8-1 ","")&amp;IF(案件管理!$Q88="×","8-2 ","")&amp;IF(案件管理!$R88="×","9 ","")&amp;IF(案件管理!$S88="×","11 ","")&amp;IF(案件管理!$T88="×","12 ",""))</f>
        <v/>
      </c>
      <c r="N88" s="31">
        <f>IF(OR($B88="",$B88="—"),"",IF(案件管理!$I88="－","1-1 ","")&amp;IF(案件管理!$J88="－","1-2 ","")&amp;IF(案件管理!$K88="－","1-3 ","")&amp;IF(案件管理!$L88="－","2 ","")&amp;IF(案件管理!$M88="－","3 ","")&amp;IF(案件管理!$N88="－","4 ","")&amp;IF(案件管理!$O88="－","5 ","")&amp;IF(案件管理!$P88="－","8-1 ","")&amp;IF(案件管理!$Q88="－","8-2 ","")&amp;IF(案件管理!$R88="－","9 ","")&amp;IF(案件管理!$S88="－","11 ","")&amp;IF(案件管理!$T88="－","12 ",""))</f>
        <v/>
      </c>
      <c r="O88" s="31">
        <f>IF(OR($B88="",$B88="—"),"",案件管理!$AB88)</f>
        <v/>
      </c>
      <c r="P88" s="17">
        <f>IF(OR($B88="",$B88="—"),"",案件管理!$X88)</f>
        <v/>
      </c>
      <c r="Q88" s="22" t="n"/>
      <c r="R88" s="23" t="n"/>
      <c r="S88" s="20" t="n"/>
      <c r="T88" s="20" t="n"/>
    </row>
    <row r="89">
      <c r="A89" s="30" t="n"/>
      <c r="B89" s="17">
        <f>IF(案件管理!$A89="","",IF(OR($A89="✓",LEFT(案件管理!$U89,2)="A："),"◎ 上申対象",IF(LEFT(案件管理!$U89,2)="B：","△ 要相談","—")))</f>
        <v/>
      </c>
      <c r="C89" s="17">
        <f>IF(OR($B89="",$B89="—"),"",案件管理!$A89)</f>
        <v/>
      </c>
      <c r="D89" s="17">
        <f>IF(OR($B89="",$B89="—"),"",案件管理!$B89)</f>
        <v/>
      </c>
      <c r="E89" s="31">
        <f>IF(OR($B89="",$B89="—"),"",案件管理!$C89)</f>
        <v/>
      </c>
      <c r="F89" s="17">
        <f>IF(OR($B89="",$B89="—"),"",案件管理!$D89)</f>
        <v/>
      </c>
      <c r="G89" s="32">
        <f>IF(OR($B89="",$B89="—"),"",案件管理!$E89)</f>
        <v/>
      </c>
      <c r="H89" s="32">
        <f>IF(OR($B89="",$B89="—"),"",案件管理!$F89)</f>
        <v/>
      </c>
      <c r="I89" s="15">
        <f>IF(OR($B89="",$B89="—"),"",案件管理!$G89)</f>
        <v/>
      </c>
      <c r="J89" s="32">
        <f>IF(OR($B89="",$B89="—"),"",案件管理!$H89)</f>
        <v/>
      </c>
      <c r="K89" s="17">
        <f>IF(OR($B89="",$B89="—"),"",案件管理!$U89)</f>
        <v/>
      </c>
      <c r="L89" s="18">
        <f>IF(OR($B89="",$B89="—"),"",案件管理!$V89)</f>
        <v/>
      </c>
      <c r="M89" s="31">
        <f>IF(OR($B89="",$B89="—"),"",IF(案件管理!$I89="×","1-1 ","")&amp;IF(案件管理!$J89="×","1-2 ","")&amp;IF(案件管理!$K89="×","1-3 ","")&amp;IF(案件管理!$L89="×","2 ","")&amp;IF(案件管理!$M89="×","3 ","")&amp;IF(案件管理!$N89="×","4 ","")&amp;IF(案件管理!$O89="×","5 ","")&amp;IF(案件管理!$P89="×","8-1 ","")&amp;IF(案件管理!$Q89="×","8-2 ","")&amp;IF(案件管理!$R89="×","9 ","")&amp;IF(案件管理!$S89="×","11 ","")&amp;IF(案件管理!$T89="×","12 ",""))</f>
        <v/>
      </c>
      <c r="N89" s="31">
        <f>IF(OR($B89="",$B89="—"),"",IF(案件管理!$I89="－","1-1 ","")&amp;IF(案件管理!$J89="－","1-2 ","")&amp;IF(案件管理!$K89="－","1-3 ","")&amp;IF(案件管理!$L89="－","2 ","")&amp;IF(案件管理!$M89="－","3 ","")&amp;IF(案件管理!$N89="－","4 ","")&amp;IF(案件管理!$O89="－","5 ","")&amp;IF(案件管理!$P89="－","8-1 ","")&amp;IF(案件管理!$Q89="－","8-2 ","")&amp;IF(案件管理!$R89="－","9 ","")&amp;IF(案件管理!$S89="－","11 ","")&amp;IF(案件管理!$T89="－","12 ",""))</f>
        <v/>
      </c>
      <c r="O89" s="31">
        <f>IF(OR($B89="",$B89="—"),"",案件管理!$AB89)</f>
        <v/>
      </c>
      <c r="P89" s="17">
        <f>IF(OR($B89="",$B89="—"),"",案件管理!$X89)</f>
        <v/>
      </c>
      <c r="Q89" s="22" t="n"/>
      <c r="R89" s="23" t="n"/>
      <c r="S89" s="20" t="n"/>
      <c r="T89" s="20" t="n"/>
    </row>
    <row r="90">
      <c r="A90" s="30" t="n"/>
      <c r="B90" s="17">
        <f>IF(案件管理!$A90="","",IF(OR($A90="✓",LEFT(案件管理!$U90,2)="A："),"◎ 上申対象",IF(LEFT(案件管理!$U90,2)="B：","△ 要相談","—")))</f>
        <v/>
      </c>
      <c r="C90" s="17">
        <f>IF(OR($B90="",$B90="—"),"",案件管理!$A90)</f>
        <v/>
      </c>
      <c r="D90" s="17">
        <f>IF(OR($B90="",$B90="—"),"",案件管理!$B90)</f>
        <v/>
      </c>
      <c r="E90" s="31">
        <f>IF(OR($B90="",$B90="—"),"",案件管理!$C90)</f>
        <v/>
      </c>
      <c r="F90" s="17">
        <f>IF(OR($B90="",$B90="—"),"",案件管理!$D90)</f>
        <v/>
      </c>
      <c r="G90" s="32">
        <f>IF(OR($B90="",$B90="—"),"",案件管理!$E90)</f>
        <v/>
      </c>
      <c r="H90" s="32">
        <f>IF(OR($B90="",$B90="—"),"",案件管理!$F90)</f>
        <v/>
      </c>
      <c r="I90" s="15">
        <f>IF(OR($B90="",$B90="—"),"",案件管理!$G90)</f>
        <v/>
      </c>
      <c r="J90" s="32">
        <f>IF(OR($B90="",$B90="—"),"",案件管理!$H90)</f>
        <v/>
      </c>
      <c r="K90" s="17">
        <f>IF(OR($B90="",$B90="—"),"",案件管理!$U90)</f>
        <v/>
      </c>
      <c r="L90" s="18">
        <f>IF(OR($B90="",$B90="—"),"",案件管理!$V90)</f>
        <v/>
      </c>
      <c r="M90" s="31">
        <f>IF(OR($B90="",$B90="—"),"",IF(案件管理!$I90="×","1-1 ","")&amp;IF(案件管理!$J90="×","1-2 ","")&amp;IF(案件管理!$K90="×","1-3 ","")&amp;IF(案件管理!$L90="×","2 ","")&amp;IF(案件管理!$M90="×","3 ","")&amp;IF(案件管理!$N90="×","4 ","")&amp;IF(案件管理!$O90="×","5 ","")&amp;IF(案件管理!$P90="×","8-1 ","")&amp;IF(案件管理!$Q90="×","8-2 ","")&amp;IF(案件管理!$R90="×","9 ","")&amp;IF(案件管理!$S90="×","11 ","")&amp;IF(案件管理!$T90="×","12 ",""))</f>
        <v/>
      </c>
      <c r="N90" s="31">
        <f>IF(OR($B90="",$B90="—"),"",IF(案件管理!$I90="－","1-1 ","")&amp;IF(案件管理!$J90="－","1-2 ","")&amp;IF(案件管理!$K90="－","1-3 ","")&amp;IF(案件管理!$L90="－","2 ","")&amp;IF(案件管理!$M90="－","3 ","")&amp;IF(案件管理!$N90="－","4 ","")&amp;IF(案件管理!$O90="－","5 ","")&amp;IF(案件管理!$P90="－","8-1 ","")&amp;IF(案件管理!$Q90="－","8-2 ","")&amp;IF(案件管理!$R90="－","9 ","")&amp;IF(案件管理!$S90="－","11 ","")&amp;IF(案件管理!$T90="－","12 ",""))</f>
        <v/>
      </c>
      <c r="O90" s="31">
        <f>IF(OR($B90="",$B90="—"),"",案件管理!$AB90)</f>
        <v/>
      </c>
      <c r="P90" s="17">
        <f>IF(OR($B90="",$B90="—"),"",案件管理!$X90)</f>
        <v/>
      </c>
      <c r="Q90" s="22" t="n"/>
      <c r="R90" s="23" t="n"/>
      <c r="S90" s="20" t="n"/>
      <c r="T90" s="20" t="n"/>
    </row>
    <row r="91">
      <c r="A91" s="30" t="n"/>
      <c r="B91" s="17">
        <f>IF(案件管理!$A91="","",IF(OR($A91="✓",LEFT(案件管理!$U91,2)="A："),"◎ 上申対象",IF(LEFT(案件管理!$U91,2)="B：","△ 要相談","—")))</f>
        <v/>
      </c>
      <c r="C91" s="17">
        <f>IF(OR($B91="",$B91="—"),"",案件管理!$A91)</f>
        <v/>
      </c>
      <c r="D91" s="17">
        <f>IF(OR($B91="",$B91="—"),"",案件管理!$B91)</f>
        <v/>
      </c>
      <c r="E91" s="31">
        <f>IF(OR($B91="",$B91="—"),"",案件管理!$C91)</f>
        <v/>
      </c>
      <c r="F91" s="17">
        <f>IF(OR($B91="",$B91="—"),"",案件管理!$D91)</f>
        <v/>
      </c>
      <c r="G91" s="32">
        <f>IF(OR($B91="",$B91="—"),"",案件管理!$E91)</f>
        <v/>
      </c>
      <c r="H91" s="32">
        <f>IF(OR($B91="",$B91="—"),"",案件管理!$F91)</f>
        <v/>
      </c>
      <c r="I91" s="15">
        <f>IF(OR($B91="",$B91="—"),"",案件管理!$G91)</f>
        <v/>
      </c>
      <c r="J91" s="32">
        <f>IF(OR($B91="",$B91="—"),"",案件管理!$H91)</f>
        <v/>
      </c>
      <c r="K91" s="17">
        <f>IF(OR($B91="",$B91="—"),"",案件管理!$U91)</f>
        <v/>
      </c>
      <c r="L91" s="18">
        <f>IF(OR($B91="",$B91="—"),"",案件管理!$V91)</f>
        <v/>
      </c>
      <c r="M91" s="31">
        <f>IF(OR($B91="",$B91="—"),"",IF(案件管理!$I91="×","1-1 ","")&amp;IF(案件管理!$J91="×","1-2 ","")&amp;IF(案件管理!$K91="×","1-3 ","")&amp;IF(案件管理!$L91="×","2 ","")&amp;IF(案件管理!$M91="×","3 ","")&amp;IF(案件管理!$N91="×","4 ","")&amp;IF(案件管理!$O91="×","5 ","")&amp;IF(案件管理!$P91="×","8-1 ","")&amp;IF(案件管理!$Q91="×","8-2 ","")&amp;IF(案件管理!$R91="×","9 ","")&amp;IF(案件管理!$S91="×","11 ","")&amp;IF(案件管理!$T91="×","12 ",""))</f>
        <v/>
      </c>
      <c r="N91" s="31">
        <f>IF(OR($B91="",$B91="—"),"",IF(案件管理!$I91="－","1-1 ","")&amp;IF(案件管理!$J91="－","1-2 ","")&amp;IF(案件管理!$K91="－","1-3 ","")&amp;IF(案件管理!$L91="－","2 ","")&amp;IF(案件管理!$M91="－","3 ","")&amp;IF(案件管理!$N91="－","4 ","")&amp;IF(案件管理!$O91="－","5 ","")&amp;IF(案件管理!$P91="－","8-1 ","")&amp;IF(案件管理!$Q91="－","8-2 ","")&amp;IF(案件管理!$R91="－","9 ","")&amp;IF(案件管理!$S91="－","11 ","")&amp;IF(案件管理!$T91="－","12 ",""))</f>
        <v/>
      </c>
      <c r="O91" s="31">
        <f>IF(OR($B91="",$B91="—"),"",案件管理!$AB91)</f>
        <v/>
      </c>
      <c r="P91" s="17">
        <f>IF(OR($B91="",$B91="—"),"",案件管理!$X91)</f>
        <v/>
      </c>
      <c r="Q91" s="22" t="n"/>
      <c r="R91" s="23" t="n"/>
      <c r="S91" s="20" t="n"/>
      <c r="T91" s="20" t="n"/>
    </row>
    <row r="92">
      <c r="A92" s="30" t="n"/>
      <c r="B92" s="17">
        <f>IF(案件管理!$A92="","",IF(OR($A92="✓",LEFT(案件管理!$U92,2)="A："),"◎ 上申対象",IF(LEFT(案件管理!$U92,2)="B：","△ 要相談","—")))</f>
        <v/>
      </c>
      <c r="C92" s="17">
        <f>IF(OR($B92="",$B92="—"),"",案件管理!$A92)</f>
        <v/>
      </c>
      <c r="D92" s="17">
        <f>IF(OR($B92="",$B92="—"),"",案件管理!$B92)</f>
        <v/>
      </c>
      <c r="E92" s="31">
        <f>IF(OR($B92="",$B92="—"),"",案件管理!$C92)</f>
        <v/>
      </c>
      <c r="F92" s="17">
        <f>IF(OR($B92="",$B92="—"),"",案件管理!$D92)</f>
        <v/>
      </c>
      <c r="G92" s="32">
        <f>IF(OR($B92="",$B92="—"),"",案件管理!$E92)</f>
        <v/>
      </c>
      <c r="H92" s="32">
        <f>IF(OR($B92="",$B92="—"),"",案件管理!$F92)</f>
        <v/>
      </c>
      <c r="I92" s="15">
        <f>IF(OR($B92="",$B92="—"),"",案件管理!$G92)</f>
        <v/>
      </c>
      <c r="J92" s="32">
        <f>IF(OR($B92="",$B92="—"),"",案件管理!$H92)</f>
        <v/>
      </c>
      <c r="K92" s="17">
        <f>IF(OR($B92="",$B92="—"),"",案件管理!$U92)</f>
        <v/>
      </c>
      <c r="L92" s="18">
        <f>IF(OR($B92="",$B92="—"),"",案件管理!$V92)</f>
        <v/>
      </c>
      <c r="M92" s="31">
        <f>IF(OR($B92="",$B92="—"),"",IF(案件管理!$I92="×","1-1 ","")&amp;IF(案件管理!$J92="×","1-2 ","")&amp;IF(案件管理!$K92="×","1-3 ","")&amp;IF(案件管理!$L92="×","2 ","")&amp;IF(案件管理!$M92="×","3 ","")&amp;IF(案件管理!$N92="×","4 ","")&amp;IF(案件管理!$O92="×","5 ","")&amp;IF(案件管理!$P92="×","8-1 ","")&amp;IF(案件管理!$Q92="×","8-2 ","")&amp;IF(案件管理!$R92="×","9 ","")&amp;IF(案件管理!$S92="×","11 ","")&amp;IF(案件管理!$T92="×","12 ",""))</f>
        <v/>
      </c>
      <c r="N92" s="31">
        <f>IF(OR($B92="",$B92="—"),"",IF(案件管理!$I92="－","1-1 ","")&amp;IF(案件管理!$J92="－","1-2 ","")&amp;IF(案件管理!$K92="－","1-3 ","")&amp;IF(案件管理!$L92="－","2 ","")&amp;IF(案件管理!$M92="－","3 ","")&amp;IF(案件管理!$N92="－","4 ","")&amp;IF(案件管理!$O92="－","5 ","")&amp;IF(案件管理!$P92="－","8-1 ","")&amp;IF(案件管理!$Q92="－","8-2 ","")&amp;IF(案件管理!$R92="－","9 ","")&amp;IF(案件管理!$S92="－","11 ","")&amp;IF(案件管理!$T92="－","12 ",""))</f>
        <v/>
      </c>
      <c r="O92" s="31">
        <f>IF(OR($B92="",$B92="—"),"",案件管理!$AB92)</f>
        <v/>
      </c>
      <c r="P92" s="17">
        <f>IF(OR($B92="",$B92="—"),"",案件管理!$X92)</f>
        <v/>
      </c>
      <c r="Q92" s="22" t="n"/>
      <c r="R92" s="23" t="n"/>
      <c r="S92" s="20" t="n"/>
      <c r="T92" s="20" t="n"/>
    </row>
    <row r="93">
      <c r="A93" s="30" t="n"/>
      <c r="B93" s="17">
        <f>IF(案件管理!$A93="","",IF(OR($A93="✓",LEFT(案件管理!$U93,2)="A："),"◎ 上申対象",IF(LEFT(案件管理!$U93,2)="B：","△ 要相談","—")))</f>
        <v/>
      </c>
      <c r="C93" s="17">
        <f>IF(OR($B93="",$B93="—"),"",案件管理!$A93)</f>
        <v/>
      </c>
      <c r="D93" s="17">
        <f>IF(OR($B93="",$B93="—"),"",案件管理!$B93)</f>
        <v/>
      </c>
      <c r="E93" s="31">
        <f>IF(OR($B93="",$B93="—"),"",案件管理!$C93)</f>
        <v/>
      </c>
      <c r="F93" s="17">
        <f>IF(OR($B93="",$B93="—"),"",案件管理!$D93)</f>
        <v/>
      </c>
      <c r="G93" s="32">
        <f>IF(OR($B93="",$B93="—"),"",案件管理!$E93)</f>
        <v/>
      </c>
      <c r="H93" s="32">
        <f>IF(OR($B93="",$B93="—"),"",案件管理!$F93)</f>
        <v/>
      </c>
      <c r="I93" s="15">
        <f>IF(OR($B93="",$B93="—"),"",案件管理!$G93)</f>
        <v/>
      </c>
      <c r="J93" s="32">
        <f>IF(OR($B93="",$B93="—"),"",案件管理!$H93)</f>
        <v/>
      </c>
      <c r="K93" s="17">
        <f>IF(OR($B93="",$B93="—"),"",案件管理!$U93)</f>
        <v/>
      </c>
      <c r="L93" s="18">
        <f>IF(OR($B93="",$B93="—"),"",案件管理!$V93)</f>
        <v/>
      </c>
      <c r="M93" s="31">
        <f>IF(OR($B93="",$B93="—"),"",IF(案件管理!$I93="×","1-1 ","")&amp;IF(案件管理!$J93="×","1-2 ","")&amp;IF(案件管理!$K93="×","1-3 ","")&amp;IF(案件管理!$L93="×","2 ","")&amp;IF(案件管理!$M93="×","3 ","")&amp;IF(案件管理!$N93="×","4 ","")&amp;IF(案件管理!$O93="×","5 ","")&amp;IF(案件管理!$P93="×","8-1 ","")&amp;IF(案件管理!$Q93="×","8-2 ","")&amp;IF(案件管理!$R93="×","9 ","")&amp;IF(案件管理!$S93="×","11 ","")&amp;IF(案件管理!$T93="×","12 ",""))</f>
        <v/>
      </c>
      <c r="N93" s="31">
        <f>IF(OR($B93="",$B93="—"),"",IF(案件管理!$I93="－","1-1 ","")&amp;IF(案件管理!$J93="－","1-2 ","")&amp;IF(案件管理!$K93="－","1-3 ","")&amp;IF(案件管理!$L93="－","2 ","")&amp;IF(案件管理!$M93="－","3 ","")&amp;IF(案件管理!$N93="－","4 ","")&amp;IF(案件管理!$O93="－","5 ","")&amp;IF(案件管理!$P93="－","8-1 ","")&amp;IF(案件管理!$Q93="－","8-2 ","")&amp;IF(案件管理!$R93="－","9 ","")&amp;IF(案件管理!$S93="－","11 ","")&amp;IF(案件管理!$T93="－","12 ",""))</f>
        <v/>
      </c>
      <c r="O93" s="31">
        <f>IF(OR($B93="",$B93="—"),"",案件管理!$AB93)</f>
        <v/>
      </c>
      <c r="P93" s="17">
        <f>IF(OR($B93="",$B93="—"),"",案件管理!$X93)</f>
        <v/>
      </c>
      <c r="Q93" s="22" t="n"/>
      <c r="R93" s="23" t="n"/>
      <c r="S93" s="20" t="n"/>
      <c r="T93" s="20" t="n"/>
    </row>
    <row r="94">
      <c r="A94" s="30" t="n"/>
      <c r="B94" s="17">
        <f>IF(案件管理!$A94="","",IF(OR($A94="✓",LEFT(案件管理!$U94,2)="A："),"◎ 上申対象",IF(LEFT(案件管理!$U94,2)="B：","△ 要相談","—")))</f>
        <v/>
      </c>
      <c r="C94" s="17">
        <f>IF(OR($B94="",$B94="—"),"",案件管理!$A94)</f>
        <v/>
      </c>
      <c r="D94" s="17">
        <f>IF(OR($B94="",$B94="—"),"",案件管理!$B94)</f>
        <v/>
      </c>
      <c r="E94" s="31">
        <f>IF(OR($B94="",$B94="—"),"",案件管理!$C94)</f>
        <v/>
      </c>
      <c r="F94" s="17">
        <f>IF(OR($B94="",$B94="—"),"",案件管理!$D94)</f>
        <v/>
      </c>
      <c r="G94" s="32">
        <f>IF(OR($B94="",$B94="—"),"",案件管理!$E94)</f>
        <v/>
      </c>
      <c r="H94" s="32">
        <f>IF(OR($B94="",$B94="—"),"",案件管理!$F94)</f>
        <v/>
      </c>
      <c r="I94" s="15">
        <f>IF(OR($B94="",$B94="—"),"",案件管理!$G94)</f>
        <v/>
      </c>
      <c r="J94" s="32">
        <f>IF(OR($B94="",$B94="—"),"",案件管理!$H94)</f>
        <v/>
      </c>
      <c r="K94" s="17">
        <f>IF(OR($B94="",$B94="—"),"",案件管理!$U94)</f>
        <v/>
      </c>
      <c r="L94" s="18">
        <f>IF(OR($B94="",$B94="—"),"",案件管理!$V94)</f>
        <v/>
      </c>
      <c r="M94" s="31">
        <f>IF(OR($B94="",$B94="—"),"",IF(案件管理!$I94="×","1-1 ","")&amp;IF(案件管理!$J94="×","1-2 ","")&amp;IF(案件管理!$K94="×","1-3 ","")&amp;IF(案件管理!$L94="×","2 ","")&amp;IF(案件管理!$M94="×","3 ","")&amp;IF(案件管理!$N94="×","4 ","")&amp;IF(案件管理!$O94="×","5 ","")&amp;IF(案件管理!$P94="×","8-1 ","")&amp;IF(案件管理!$Q94="×","8-2 ","")&amp;IF(案件管理!$R94="×","9 ","")&amp;IF(案件管理!$S94="×","11 ","")&amp;IF(案件管理!$T94="×","12 ",""))</f>
        <v/>
      </c>
      <c r="N94" s="31">
        <f>IF(OR($B94="",$B94="—"),"",IF(案件管理!$I94="－","1-1 ","")&amp;IF(案件管理!$J94="－","1-2 ","")&amp;IF(案件管理!$K94="－","1-3 ","")&amp;IF(案件管理!$L94="－","2 ","")&amp;IF(案件管理!$M94="－","3 ","")&amp;IF(案件管理!$N94="－","4 ","")&amp;IF(案件管理!$O94="－","5 ","")&amp;IF(案件管理!$P94="－","8-1 ","")&amp;IF(案件管理!$Q94="－","8-2 ","")&amp;IF(案件管理!$R94="－","9 ","")&amp;IF(案件管理!$S94="－","11 ","")&amp;IF(案件管理!$T94="－","12 ",""))</f>
        <v/>
      </c>
      <c r="O94" s="31">
        <f>IF(OR($B94="",$B94="—"),"",案件管理!$AB94)</f>
        <v/>
      </c>
      <c r="P94" s="17">
        <f>IF(OR($B94="",$B94="—"),"",案件管理!$X94)</f>
        <v/>
      </c>
      <c r="Q94" s="22" t="n"/>
      <c r="R94" s="23" t="n"/>
      <c r="S94" s="20" t="n"/>
      <c r="T94" s="20" t="n"/>
    </row>
    <row r="95">
      <c r="A95" s="30" t="n"/>
      <c r="B95" s="17">
        <f>IF(案件管理!$A95="","",IF(OR($A95="✓",LEFT(案件管理!$U95,2)="A："),"◎ 上申対象",IF(LEFT(案件管理!$U95,2)="B：","△ 要相談","—")))</f>
        <v/>
      </c>
      <c r="C95" s="17">
        <f>IF(OR($B95="",$B95="—"),"",案件管理!$A95)</f>
        <v/>
      </c>
      <c r="D95" s="17">
        <f>IF(OR($B95="",$B95="—"),"",案件管理!$B95)</f>
        <v/>
      </c>
      <c r="E95" s="31">
        <f>IF(OR($B95="",$B95="—"),"",案件管理!$C95)</f>
        <v/>
      </c>
      <c r="F95" s="17">
        <f>IF(OR($B95="",$B95="—"),"",案件管理!$D95)</f>
        <v/>
      </c>
      <c r="G95" s="32">
        <f>IF(OR($B95="",$B95="—"),"",案件管理!$E95)</f>
        <v/>
      </c>
      <c r="H95" s="32">
        <f>IF(OR($B95="",$B95="—"),"",案件管理!$F95)</f>
        <v/>
      </c>
      <c r="I95" s="15">
        <f>IF(OR($B95="",$B95="—"),"",案件管理!$G95)</f>
        <v/>
      </c>
      <c r="J95" s="32">
        <f>IF(OR($B95="",$B95="—"),"",案件管理!$H95)</f>
        <v/>
      </c>
      <c r="K95" s="17">
        <f>IF(OR($B95="",$B95="—"),"",案件管理!$U95)</f>
        <v/>
      </c>
      <c r="L95" s="18">
        <f>IF(OR($B95="",$B95="—"),"",案件管理!$V95)</f>
        <v/>
      </c>
      <c r="M95" s="31">
        <f>IF(OR($B95="",$B95="—"),"",IF(案件管理!$I95="×","1-1 ","")&amp;IF(案件管理!$J95="×","1-2 ","")&amp;IF(案件管理!$K95="×","1-3 ","")&amp;IF(案件管理!$L95="×","2 ","")&amp;IF(案件管理!$M95="×","3 ","")&amp;IF(案件管理!$N95="×","4 ","")&amp;IF(案件管理!$O95="×","5 ","")&amp;IF(案件管理!$P95="×","8-1 ","")&amp;IF(案件管理!$Q95="×","8-2 ","")&amp;IF(案件管理!$R95="×","9 ","")&amp;IF(案件管理!$S95="×","11 ","")&amp;IF(案件管理!$T95="×","12 ",""))</f>
        <v/>
      </c>
      <c r="N95" s="31">
        <f>IF(OR($B95="",$B95="—"),"",IF(案件管理!$I95="－","1-1 ","")&amp;IF(案件管理!$J95="－","1-2 ","")&amp;IF(案件管理!$K95="－","1-3 ","")&amp;IF(案件管理!$L95="－","2 ","")&amp;IF(案件管理!$M95="－","3 ","")&amp;IF(案件管理!$N95="－","4 ","")&amp;IF(案件管理!$O95="－","5 ","")&amp;IF(案件管理!$P95="－","8-1 ","")&amp;IF(案件管理!$Q95="－","8-2 ","")&amp;IF(案件管理!$R95="－","9 ","")&amp;IF(案件管理!$S95="－","11 ","")&amp;IF(案件管理!$T95="－","12 ",""))</f>
        <v/>
      </c>
      <c r="O95" s="31">
        <f>IF(OR($B95="",$B95="—"),"",案件管理!$AB95)</f>
        <v/>
      </c>
      <c r="P95" s="17">
        <f>IF(OR($B95="",$B95="—"),"",案件管理!$X95)</f>
        <v/>
      </c>
      <c r="Q95" s="22" t="n"/>
      <c r="R95" s="23" t="n"/>
      <c r="S95" s="20" t="n"/>
      <c r="T95" s="20" t="n"/>
    </row>
    <row r="96">
      <c r="A96" s="30" t="n"/>
      <c r="B96" s="17">
        <f>IF(案件管理!$A96="","",IF(OR($A96="✓",LEFT(案件管理!$U96,2)="A："),"◎ 上申対象",IF(LEFT(案件管理!$U96,2)="B：","△ 要相談","—")))</f>
        <v/>
      </c>
      <c r="C96" s="17">
        <f>IF(OR($B96="",$B96="—"),"",案件管理!$A96)</f>
        <v/>
      </c>
      <c r="D96" s="17">
        <f>IF(OR($B96="",$B96="—"),"",案件管理!$B96)</f>
        <v/>
      </c>
      <c r="E96" s="31">
        <f>IF(OR($B96="",$B96="—"),"",案件管理!$C96)</f>
        <v/>
      </c>
      <c r="F96" s="17">
        <f>IF(OR($B96="",$B96="—"),"",案件管理!$D96)</f>
        <v/>
      </c>
      <c r="G96" s="32">
        <f>IF(OR($B96="",$B96="—"),"",案件管理!$E96)</f>
        <v/>
      </c>
      <c r="H96" s="32">
        <f>IF(OR($B96="",$B96="—"),"",案件管理!$F96)</f>
        <v/>
      </c>
      <c r="I96" s="15">
        <f>IF(OR($B96="",$B96="—"),"",案件管理!$G96)</f>
        <v/>
      </c>
      <c r="J96" s="32">
        <f>IF(OR($B96="",$B96="—"),"",案件管理!$H96)</f>
        <v/>
      </c>
      <c r="K96" s="17">
        <f>IF(OR($B96="",$B96="—"),"",案件管理!$U96)</f>
        <v/>
      </c>
      <c r="L96" s="18">
        <f>IF(OR($B96="",$B96="—"),"",案件管理!$V96)</f>
        <v/>
      </c>
      <c r="M96" s="31">
        <f>IF(OR($B96="",$B96="—"),"",IF(案件管理!$I96="×","1-1 ","")&amp;IF(案件管理!$J96="×","1-2 ","")&amp;IF(案件管理!$K96="×","1-3 ","")&amp;IF(案件管理!$L96="×","2 ","")&amp;IF(案件管理!$M96="×","3 ","")&amp;IF(案件管理!$N96="×","4 ","")&amp;IF(案件管理!$O96="×","5 ","")&amp;IF(案件管理!$P96="×","8-1 ","")&amp;IF(案件管理!$Q96="×","8-2 ","")&amp;IF(案件管理!$R96="×","9 ","")&amp;IF(案件管理!$S96="×","11 ","")&amp;IF(案件管理!$T96="×","12 ",""))</f>
        <v/>
      </c>
      <c r="N96" s="31">
        <f>IF(OR($B96="",$B96="—"),"",IF(案件管理!$I96="－","1-1 ","")&amp;IF(案件管理!$J96="－","1-2 ","")&amp;IF(案件管理!$K96="－","1-3 ","")&amp;IF(案件管理!$L96="－","2 ","")&amp;IF(案件管理!$M96="－","3 ","")&amp;IF(案件管理!$N96="－","4 ","")&amp;IF(案件管理!$O96="－","5 ","")&amp;IF(案件管理!$P96="－","8-1 ","")&amp;IF(案件管理!$Q96="－","8-2 ","")&amp;IF(案件管理!$R96="－","9 ","")&amp;IF(案件管理!$S96="－","11 ","")&amp;IF(案件管理!$T96="－","12 ",""))</f>
        <v/>
      </c>
      <c r="O96" s="31">
        <f>IF(OR($B96="",$B96="—"),"",案件管理!$AB96)</f>
        <v/>
      </c>
      <c r="P96" s="17">
        <f>IF(OR($B96="",$B96="—"),"",案件管理!$X96)</f>
        <v/>
      </c>
      <c r="Q96" s="22" t="n"/>
      <c r="R96" s="23" t="n"/>
      <c r="S96" s="20" t="n"/>
      <c r="T96" s="20" t="n"/>
    </row>
    <row r="97">
      <c r="A97" s="30" t="n"/>
      <c r="B97" s="17">
        <f>IF(案件管理!$A97="","",IF(OR($A97="✓",LEFT(案件管理!$U97,2)="A："),"◎ 上申対象",IF(LEFT(案件管理!$U97,2)="B：","△ 要相談","—")))</f>
        <v/>
      </c>
      <c r="C97" s="17">
        <f>IF(OR($B97="",$B97="—"),"",案件管理!$A97)</f>
        <v/>
      </c>
      <c r="D97" s="17">
        <f>IF(OR($B97="",$B97="—"),"",案件管理!$B97)</f>
        <v/>
      </c>
      <c r="E97" s="31">
        <f>IF(OR($B97="",$B97="—"),"",案件管理!$C97)</f>
        <v/>
      </c>
      <c r="F97" s="17">
        <f>IF(OR($B97="",$B97="—"),"",案件管理!$D97)</f>
        <v/>
      </c>
      <c r="G97" s="32">
        <f>IF(OR($B97="",$B97="—"),"",案件管理!$E97)</f>
        <v/>
      </c>
      <c r="H97" s="32">
        <f>IF(OR($B97="",$B97="—"),"",案件管理!$F97)</f>
        <v/>
      </c>
      <c r="I97" s="15">
        <f>IF(OR($B97="",$B97="—"),"",案件管理!$G97)</f>
        <v/>
      </c>
      <c r="J97" s="32">
        <f>IF(OR($B97="",$B97="—"),"",案件管理!$H97)</f>
        <v/>
      </c>
      <c r="K97" s="17">
        <f>IF(OR($B97="",$B97="—"),"",案件管理!$U97)</f>
        <v/>
      </c>
      <c r="L97" s="18">
        <f>IF(OR($B97="",$B97="—"),"",案件管理!$V97)</f>
        <v/>
      </c>
      <c r="M97" s="31">
        <f>IF(OR($B97="",$B97="—"),"",IF(案件管理!$I97="×","1-1 ","")&amp;IF(案件管理!$J97="×","1-2 ","")&amp;IF(案件管理!$K97="×","1-3 ","")&amp;IF(案件管理!$L97="×","2 ","")&amp;IF(案件管理!$M97="×","3 ","")&amp;IF(案件管理!$N97="×","4 ","")&amp;IF(案件管理!$O97="×","5 ","")&amp;IF(案件管理!$P97="×","8-1 ","")&amp;IF(案件管理!$Q97="×","8-2 ","")&amp;IF(案件管理!$R97="×","9 ","")&amp;IF(案件管理!$S97="×","11 ","")&amp;IF(案件管理!$T97="×","12 ",""))</f>
        <v/>
      </c>
      <c r="N97" s="31">
        <f>IF(OR($B97="",$B97="—"),"",IF(案件管理!$I97="－","1-1 ","")&amp;IF(案件管理!$J97="－","1-2 ","")&amp;IF(案件管理!$K97="－","1-3 ","")&amp;IF(案件管理!$L97="－","2 ","")&amp;IF(案件管理!$M97="－","3 ","")&amp;IF(案件管理!$N97="－","4 ","")&amp;IF(案件管理!$O97="－","5 ","")&amp;IF(案件管理!$P97="－","8-1 ","")&amp;IF(案件管理!$Q97="－","8-2 ","")&amp;IF(案件管理!$R97="－","9 ","")&amp;IF(案件管理!$S97="－","11 ","")&amp;IF(案件管理!$T97="－","12 ",""))</f>
        <v/>
      </c>
      <c r="O97" s="31">
        <f>IF(OR($B97="",$B97="—"),"",案件管理!$AB97)</f>
        <v/>
      </c>
      <c r="P97" s="17">
        <f>IF(OR($B97="",$B97="—"),"",案件管理!$X97)</f>
        <v/>
      </c>
      <c r="Q97" s="22" t="n"/>
      <c r="R97" s="23" t="n"/>
      <c r="S97" s="20" t="n"/>
      <c r="T97" s="20" t="n"/>
    </row>
    <row r="98">
      <c r="A98" s="30" t="n"/>
      <c r="B98" s="17">
        <f>IF(案件管理!$A98="","",IF(OR($A98="✓",LEFT(案件管理!$U98,2)="A："),"◎ 上申対象",IF(LEFT(案件管理!$U98,2)="B：","△ 要相談","—")))</f>
        <v/>
      </c>
      <c r="C98" s="17">
        <f>IF(OR($B98="",$B98="—"),"",案件管理!$A98)</f>
        <v/>
      </c>
      <c r="D98" s="17">
        <f>IF(OR($B98="",$B98="—"),"",案件管理!$B98)</f>
        <v/>
      </c>
      <c r="E98" s="31">
        <f>IF(OR($B98="",$B98="—"),"",案件管理!$C98)</f>
        <v/>
      </c>
      <c r="F98" s="17">
        <f>IF(OR($B98="",$B98="—"),"",案件管理!$D98)</f>
        <v/>
      </c>
      <c r="G98" s="32">
        <f>IF(OR($B98="",$B98="—"),"",案件管理!$E98)</f>
        <v/>
      </c>
      <c r="H98" s="32">
        <f>IF(OR($B98="",$B98="—"),"",案件管理!$F98)</f>
        <v/>
      </c>
      <c r="I98" s="15">
        <f>IF(OR($B98="",$B98="—"),"",案件管理!$G98)</f>
        <v/>
      </c>
      <c r="J98" s="32">
        <f>IF(OR($B98="",$B98="—"),"",案件管理!$H98)</f>
        <v/>
      </c>
      <c r="K98" s="17">
        <f>IF(OR($B98="",$B98="—"),"",案件管理!$U98)</f>
        <v/>
      </c>
      <c r="L98" s="18">
        <f>IF(OR($B98="",$B98="—"),"",案件管理!$V98)</f>
        <v/>
      </c>
      <c r="M98" s="31">
        <f>IF(OR($B98="",$B98="—"),"",IF(案件管理!$I98="×","1-1 ","")&amp;IF(案件管理!$J98="×","1-2 ","")&amp;IF(案件管理!$K98="×","1-3 ","")&amp;IF(案件管理!$L98="×","2 ","")&amp;IF(案件管理!$M98="×","3 ","")&amp;IF(案件管理!$N98="×","4 ","")&amp;IF(案件管理!$O98="×","5 ","")&amp;IF(案件管理!$P98="×","8-1 ","")&amp;IF(案件管理!$Q98="×","8-2 ","")&amp;IF(案件管理!$R98="×","9 ","")&amp;IF(案件管理!$S98="×","11 ","")&amp;IF(案件管理!$T98="×","12 ",""))</f>
        <v/>
      </c>
      <c r="N98" s="31">
        <f>IF(OR($B98="",$B98="—"),"",IF(案件管理!$I98="－","1-1 ","")&amp;IF(案件管理!$J98="－","1-2 ","")&amp;IF(案件管理!$K98="－","1-3 ","")&amp;IF(案件管理!$L98="－","2 ","")&amp;IF(案件管理!$M98="－","3 ","")&amp;IF(案件管理!$N98="－","4 ","")&amp;IF(案件管理!$O98="－","5 ","")&amp;IF(案件管理!$P98="－","8-1 ","")&amp;IF(案件管理!$Q98="－","8-2 ","")&amp;IF(案件管理!$R98="－","9 ","")&amp;IF(案件管理!$S98="－","11 ","")&amp;IF(案件管理!$T98="－","12 ",""))</f>
        <v/>
      </c>
      <c r="O98" s="31">
        <f>IF(OR($B98="",$B98="—"),"",案件管理!$AB98)</f>
        <v/>
      </c>
      <c r="P98" s="17">
        <f>IF(OR($B98="",$B98="—"),"",案件管理!$X98)</f>
        <v/>
      </c>
      <c r="Q98" s="22" t="n"/>
      <c r="R98" s="23" t="n"/>
      <c r="S98" s="20" t="n"/>
      <c r="T98" s="20" t="n"/>
    </row>
    <row r="99">
      <c r="A99" s="30" t="n"/>
      <c r="B99" s="17">
        <f>IF(案件管理!$A99="","",IF(OR($A99="✓",LEFT(案件管理!$U99,2)="A："),"◎ 上申対象",IF(LEFT(案件管理!$U99,2)="B：","△ 要相談","—")))</f>
        <v/>
      </c>
      <c r="C99" s="17">
        <f>IF(OR($B99="",$B99="—"),"",案件管理!$A99)</f>
        <v/>
      </c>
      <c r="D99" s="17">
        <f>IF(OR($B99="",$B99="—"),"",案件管理!$B99)</f>
        <v/>
      </c>
      <c r="E99" s="31">
        <f>IF(OR($B99="",$B99="—"),"",案件管理!$C99)</f>
        <v/>
      </c>
      <c r="F99" s="17">
        <f>IF(OR($B99="",$B99="—"),"",案件管理!$D99)</f>
        <v/>
      </c>
      <c r="G99" s="32">
        <f>IF(OR($B99="",$B99="—"),"",案件管理!$E99)</f>
        <v/>
      </c>
      <c r="H99" s="32">
        <f>IF(OR($B99="",$B99="—"),"",案件管理!$F99)</f>
        <v/>
      </c>
      <c r="I99" s="15">
        <f>IF(OR($B99="",$B99="—"),"",案件管理!$G99)</f>
        <v/>
      </c>
      <c r="J99" s="32">
        <f>IF(OR($B99="",$B99="—"),"",案件管理!$H99)</f>
        <v/>
      </c>
      <c r="K99" s="17">
        <f>IF(OR($B99="",$B99="—"),"",案件管理!$U99)</f>
        <v/>
      </c>
      <c r="L99" s="18">
        <f>IF(OR($B99="",$B99="—"),"",案件管理!$V99)</f>
        <v/>
      </c>
      <c r="M99" s="31">
        <f>IF(OR($B99="",$B99="—"),"",IF(案件管理!$I99="×","1-1 ","")&amp;IF(案件管理!$J99="×","1-2 ","")&amp;IF(案件管理!$K99="×","1-3 ","")&amp;IF(案件管理!$L99="×","2 ","")&amp;IF(案件管理!$M99="×","3 ","")&amp;IF(案件管理!$N99="×","4 ","")&amp;IF(案件管理!$O99="×","5 ","")&amp;IF(案件管理!$P99="×","8-1 ","")&amp;IF(案件管理!$Q99="×","8-2 ","")&amp;IF(案件管理!$R99="×","9 ","")&amp;IF(案件管理!$S99="×","11 ","")&amp;IF(案件管理!$T99="×","12 ",""))</f>
        <v/>
      </c>
      <c r="N99" s="31">
        <f>IF(OR($B99="",$B99="—"),"",IF(案件管理!$I99="－","1-1 ","")&amp;IF(案件管理!$J99="－","1-2 ","")&amp;IF(案件管理!$K99="－","1-3 ","")&amp;IF(案件管理!$L99="－","2 ","")&amp;IF(案件管理!$M99="－","3 ","")&amp;IF(案件管理!$N99="－","4 ","")&amp;IF(案件管理!$O99="－","5 ","")&amp;IF(案件管理!$P99="－","8-1 ","")&amp;IF(案件管理!$Q99="－","8-2 ","")&amp;IF(案件管理!$R99="－","9 ","")&amp;IF(案件管理!$S99="－","11 ","")&amp;IF(案件管理!$T99="－","12 ",""))</f>
        <v/>
      </c>
      <c r="O99" s="31">
        <f>IF(OR($B99="",$B99="—"),"",案件管理!$AB99)</f>
        <v/>
      </c>
      <c r="P99" s="17">
        <f>IF(OR($B99="",$B99="—"),"",案件管理!$X99)</f>
        <v/>
      </c>
      <c r="Q99" s="22" t="n"/>
      <c r="R99" s="23" t="n"/>
      <c r="S99" s="20" t="n"/>
      <c r="T99" s="20" t="n"/>
    </row>
    <row r="100">
      <c r="A100" s="30" t="n"/>
      <c r="B100" s="17">
        <f>IF(案件管理!$A100="","",IF(OR($A100="✓",LEFT(案件管理!$U100,2)="A："),"◎ 上申対象",IF(LEFT(案件管理!$U100,2)="B：","△ 要相談","—")))</f>
        <v/>
      </c>
      <c r="C100" s="17">
        <f>IF(OR($B100="",$B100="—"),"",案件管理!$A100)</f>
        <v/>
      </c>
      <c r="D100" s="17">
        <f>IF(OR($B100="",$B100="—"),"",案件管理!$B100)</f>
        <v/>
      </c>
      <c r="E100" s="31">
        <f>IF(OR($B100="",$B100="—"),"",案件管理!$C100)</f>
        <v/>
      </c>
      <c r="F100" s="17">
        <f>IF(OR($B100="",$B100="—"),"",案件管理!$D100)</f>
        <v/>
      </c>
      <c r="G100" s="32">
        <f>IF(OR($B100="",$B100="—"),"",案件管理!$E100)</f>
        <v/>
      </c>
      <c r="H100" s="32">
        <f>IF(OR($B100="",$B100="—"),"",案件管理!$F100)</f>
        <v/>
      </c>
      <c r="I100" s="15">
        <f>IF(OR($B100="",$B100="—"),"",案件管理!$G100)</f>
        <v/>
      </c>
      <c r="J100" s="32">
        <f>IF(OR($B100="",$B100="—"),"",案件管理!$H100)</f>
        <v/>
      </c>
      <c r="K100" s="17">
        <f>IF(OR($B100="",$B100="—"),"",案件管理!$U100)</f>
        <v/>
      </c>
      <c r="L100" s="18">
        <f>IF(OR($B100="",$B100="—"),"",案件管理!$V100)</f>
        <v/>
      </c>
      <c r="M100" s="31">
        <f>IF(OR($B100="",$B100="—"),"",IF(案件管理!$I100="×","1-1 ","")&amp;IF(案件管理!$J100="×","1-2 ","")&amp;IF(案件管理!$K100="×","1-3 ","")&amp;IF(案件管理!$L100="×","2 ","")&amp;IF(案件管理!$M100="×","3 ","")&amp;IF(案件管理!$N100="×","4 ","")&amp;IF(案件管理!$O100="×","5 ","")&amp;IF(案件管理!$P100="×","8-1 ","")&amp;IF(案件管理!$Q100="×","8-2 ","")&amp;IF(案件管理!$R100="×","9 ","")&amp;IF(案件管理!$S100="×","11 ","")&amp;IF(案件管理!$T100="×","12 ",""))</f>
        <v/>
      </c>
      <c r="N100" s="31">
        <f>IF(OR($B100="",$B100="—"),"",IF(案件管理!$I100="－","1-1 ","")&amp;IF(案件管理!$J100="－","1-2 ","")&amp;IF(案件管理!$K100="－","1-3 ","")&amp;IF(案件管理!$L100="－","2 ","")&amp;IF(案件管理!$M100="－","3 ","")&amp;IF(案件管理!$N100="－","4 ","")&amp;IF(案件管理!$O100="－","5 ","")&amp;IF(案件管理!$P100="－","8-1 ","")&amp;IF(案件管理!$Q100="－","8-2 ","")&amp;IF(案件管理!$R100="－","9 ","")&amp;IF(案件管理!$S100="－","11 ","")&amp;IF(案件管理!$T100="－","12 ",""))</f>
        <v/>
      </c>
      <c r="O100" s="31">
        <f>IF(OR($B100="",$B100="—"),"",案件管理!$AB100)</f>
        <v/>
      </c>
      <c r="P100" s="17">
        <f>IF(OR($B100="",$B100="—"),"",案件管理!$X100)</f>
        <v/>
      </c>
      <c r="Q100" s="22" t="n"/>
      <c r="R100" s="23" t="n"/>
      <c r="S100" s="20" t="n"/>
      <c r="T100" s="20" t="n"/>
    </row>
    <row r="101">
      <c r="A101" s="30" t="n"/>
      <c r="B101" s="17">
        <f>IF(案件管理!$A101="","",IF(OR($A101="✓",LEFT(案件管理!$U101,2)="A："),"◎ 上申対象",IF(LEFT(案件管理!$U101,2)="B：","△ 要相談","—")))</f>
        <v/>
      </c>
      <c r="C101" s="17">
        <f>IF(OR($B101="",$B101="—"),"",案件管理!$A101)</f>
        <v/>
      </c>
      <c r="D101" s="17">
        <f>IF(OR($B101="",$B101="—"),"",案件管理!$B101)</f>
        <v/>
      </c>
      <c r="E101" s="31">
        <f>IF(OR($B101="",$B101="—"),"",案件管理!$C101)</f>
        <v/>
      </c>
      <c r="F101" s="17">
        <f>IF(OR($B101="",$B101="—"),"",案件管理!$D101)</f>
        <v/>
      </c>
      <c r="G101" s="32">
        <f>IF(OR($B101="",$B101="—"),"",案件管理!$E101)</f>
        <v/>
      </c>
      <c r="H101" s="32">
        <f>IF(OR($B101="",$B101="—"),"",案件管理!$F101)</f>
        <v/>
      </c>
      <c r="I101" s="15">
        <f>IF(OR($B101="",$B101="—"),"",案件管理!$G101)</f>
        <v/>
      </c>
      <c r="J101" s="32">
        <f>IF(OR($B101="",$B101="—"),"",案件管理!$H101)</f>
        <v/>
      </c>
      <c r="K101" s="17">
        <f>IF(OR($B101="",$B101="—"),"",案件管理!$U101)</f>
        <v/>
      </c>
      <c r="L101" s="18">
        <f>IF(OR($B101="",$B101="—"),"",案件管理!$V101)</f>
        <v/>
      </c>
      <c r="M101" s="31">
        <f>IF(OR($B101="",$B101="—"),"",IF(案件管理!$I101="×","1-1 ","")&amp;IF(案件管理!$J101="×","1-2 ","")&amp;IF(案件管理!$K101="×","1-3 ","")&amp;IF(案件管理!$L101="×","2 ","")&amp;IF(案件管理!$M101="×","3 ","")&amp;IF(案件管理!$N101="×","4 ","")&amp;IF(案件管理!$O101="×","5 ","")&amp;IF(案件管理!$P101="×","8-1 ","")&amp;IF(案件管理!$Q101="×","8-2 ","")&amp;IF(案件管理!$R101="×","9 ","")&amp;IF(案件管理!$S101="×","11 ","")&amp;IF(案件管理!$T101="×","12 ",""))</f>
        <v/>
      </c>
      <c r="N101" s="31">
        <f>IF(OR($B101="",$B101="—"),"",IF(案件管理!$I101="－","1-1 ","")&amp;IF(案件管理!$J101="－","1-2 ","")&amp;IF(案件管理!$K101="－","1-3 ","")&amp;IF(案件管理!$L101="－","2 ","")&amp;IF(案件管理!$M101="－","3 ","")&amp;IF(案件管理!$N101="－","4 ","")&amp;IF(案件管理!$O101="－","5 ","")&amp;IF(案件管理!$P101="－","8-1 ","")&amp;IF(案件管理!$Q101="－","8-2 ","")&amp;IF(案件管理!$R101="－","9 ","")&amp;IF(案件管理!$S101="－","11 ","")&amp;IF(案件管理!$T101="－","12 ",""))</f>
        <v/>
      </c>
      <c r="O101" s="31">
        <f>IF(OR($B101="",$B101="—"),"",案件管理!$AB101)</f>
        <v/>
      </c>
      <c r="P101" s="17">
        <f>IF(OR($B101="",$B101="—"),"",案件管理!$X101)</f>
        <v/>
      </c>
      <c r="Q101" s="22" t="n"/>
      <c r="R101" s="23" t="n"/>
      <c r="S101" s="20" t="n"/>
      <c r="T101" s="20" t="n"/>
    </row>
    <row r="102">
      <c r="A102" s="30" t="n"/>
      <c r="B102" s="17">
        <f>IF(案件管理!$A102="","",IF(OR($A102="✓",LEFT(案件管理!$U102,2)="A："),"◎ 上申対象",IF(LEFT(案件管理!$U102,2)="B：","△ 要相談","—")))</f>
        <v/>
      </c>
      <c r="C102" s="17">
        <f>IF(OR($B102="",$B102="—"),"",案件管理!$A102)</f>
        <v/>
      </c>
      <c r="D102" s="17">
        <f>IF(OR($B102="",$B102="—"),"",案件管理!$B102)</f>
        <v/>
      </c>
      <c r="E102" s="31">
        <f>IF(OR($B102="",$B102="—"),"",案件管理!$C102)</f>
        <v/>
      </c>
      <c r="F102" s="17">
        <f>IF(OR($B102="",$B102="—"),"",案件管理!$D102)</f>
        <v/>
      </c>
      <c r="G102" s="32">
        <f>IF(OR($B102="",$B102="—"),"",案件管理!$E102)</f>
        <v/>
      </c>
      <c r="H102" s="32">
        <f>IF(OR($B102="",$B102="—"),"",案件管理!$F102)</f>
        <v/>
      </c>
      <c r="I102" s="15">
        <f>IF(OR($B102="",$B102="—"),"",案件管理!$G102)</f>
        <v/>
      </c>
      <c r="J102" s="32">
        <f>IF(OR($B102="",$B102="—"),"",案件管理!$H102)</f>
        <v/>
      </c>
      <c r="K102" s="17">
        <f>IF(OR($B102="",$B102="—"),"",案件管理!$U102)</f>
        <v/>
      </c>
      <c r="L102" s="18">
        <f>IF(OR($B102="",$B102="—"),"",案件管理!$V102)</f>
        <v/>
      </c>
      <c r="M102" s="31">
        <f>IF(OR($B102="",$B102="—"),"",IF(案件管理!$I102="×","1-1 ","")&amp;IF(案件管理!$J102="×","1-2 ","")&amp;IF(案件管理!$K102="×","1-3 ","")&amp;IF(案件管理!$L102="×","2 ","")&amp;IF(案件管理!$M102="×","3 ","")&amp;IF(案件管理!$N102="×","4 ","")&amp;IF(案件管理!$O102="×","5 ","")&amp;IF(案件管理!$P102="×","8-1 ","")&amp;IF(案件管理!$Q102="×","8-2 ","")&amp;IF(案件管理!$R102="×","9 ","")&amp;IF(案件管理!$S102="×","11 ","")&amp;IF(案件管理!$T102="×","12 ",""))</f>
        <v/>
      </c>
      <c r="N102" s="31">
        <f>IF(OR($B102="",$B102="—"),"",IF(案件管理!$I102="－","1-1 ","")&amp;IF(案件管理!$J102="－","1-2 ","")&amp;IF(案件管理!$K102="－","1-3 ","")&amp;IF(案件管理!$L102="－","2 ","")&amp;IF(案件管理!$M102="－","3 ","")&amp;IF(案件管理!$N102="－","4 ","")&amp;IF(案件管理!$O102="－","5 ","")&amp;IF(案件管理!$P102="－","8-1 ","")&amp;IF(案件管理!$Q102="－","8-2 ","")&amp;IF(案件管理!$R102="－","9 ","")&amp;IF(案件管理!$S102="－","11 ","")&amp;IF(案件管理!$T102="－","12 ",""))</f>
        <v/>
      </c>
      <c r="O102" s="31">
        <f>IF(OR($B102="",$B102="—"),"",案件管理!$AB102)</f>
        <v/>
      </c>
      <c r="P102" s="17">
        <f>IF(OR($B102="",$B102="—"),"",案件管理!$X102)</f>
        <v/>
      </c>
      <c r="Q102" s="22" t="n"/>
      <c r="R102" s="23" t="n"/>
      <c r="S102" s="20" t="n"/>
      <c r="T102" s="20" t="n"/>
    </row>
    <row r="103">
      <c r="A103" s="30" t="n"/>
      <c r="B103" s="17">
        <f>IF(案件管理!$A103="","",IF(OR($A103="✓",LEFT(案件管理!$U103,2)="A："),"◎ 上申対象",IF(LEFT(案件管理!$U103,2)="B：","△ 要相談","—")))</f>
        <v/>
      </c>
      <c r="C103" s="17">
        <f>IF(OR($B103="",$B103="—"),"",案件管理!$A103)</f>
        <v/>
      </c>
      <c r="D103" s="17">
        <f>IF(OR($B103="",$B103="—"),"",案件管理!$B103)</f>
        <v/>
      </c>
      <c r="E103" s="31">
        <f>IF(OR($B103="",$B103="—"),"",案件管理!$C103)</f>
        <v/>
      </c>
      <c r="F103" s="17">
        <f>IF(OR($B103="",$B103="—"),"",案件管理!$D103)</f>
        <v/>
      </c>
      <c r="G103" s="32">
        <f>IF(OR($B103="",$B103="—"),"",案件管理!$E103)</f>
        <v/>
      </c>
      <c r="H103" s="32">
        <f>IF(OR($B103="",$B103="—"),"",案件管理!$F103)</f>
        <v/>
      </c>
      <c r="I103" s="15">
        <f>IF(OR($B103="",$B103="—"),"",案件管理!$G103)</f>
        <v/>
      </c>
      <c r="J103" s="32">
        <f>IF(OR($B103="",$B103="—"),"",案件管理!$H103)</f>
        <v/>
      </c>
      <c r="K103" s="17">
        <f>IF(OR($B103="",$B103="—"),"",案件管理!$U103)</f>
        <v/>
      </c>
      <c r="L103" s="18">
        <f>IF(OR($B103="",$B103="—"),"",案件管理!$V103)</f>
        <v/>
      </c>
      <c r="M103" s="31">
        <f>IF(OR($B103="",$B103="—"),"",IF(案件管理!$I103="×","1-1 ","")&amp;IF(案件管理!$J103="×","1-2 ","")&amp;IF(案件管理!$K103="×","1-3 ","")&amp;IF(案件管理!$L103="×","2 ","")&amp;IF(案件管理!$M103="×","3 ","")&amp;IF(案件管理!$N103="×","4 ","")&amp;IF(案件管理!$O103="×","5 ","")&amp;IF(案件管理!$P103="×","8-1 ","")&amp;IF(案件管理!$Q103="×","8-2 ","")&amp;IF(案件管理!$R103="×","9 ","")&amp;IF(案件管理!$S103="×","11 ","")&amp;IF(案件管理!$T103="×","12 ",""))</f>
        <v/>
      </c>
      <c r="N103" s="31">
        <f>IF(OR($B103="",$B103="—"),"",IF(案件管理!$I103="－","1-1 ","")&amp;IF(案件管理!$J103="－","1-2 ","")&amp;IF(案件管理!$K103="－","1-3 ","")&amp;IF(案件管理!$L103="－","2 ","")&amp;IF(案件管理!$M103="－","3 ","")&amp;IF(案件管理!$N103="－","4 ","")&amp;IF(案件管理!$O103="－","5 ","")&amp;IF(案件管理!$P103="－","8-1 ","")&amp;IF(案件管理!$Q103="－","8-2 ","")&amp;IF(案件管理!$R103="－","9 ","")&amp;IF(案件管理!$S103="－","11 ","")&amp;IF(案件管理!$T103="－","12 ",""))</f>
        <v/>
      </c>
      <c r="O103" s="31">
        <f>IF(OR($B103="",$B103="—"),"",案件管理!$AB103)</f>
        <v/>
      </c>
      <c r="P103" s="17">
        <f>IF(OR($B103="",$B103="—"),"",案件管理!$X103)</f>
        <v/>
      </c>
      <c r="Q103" s="22" t="n"/>
      <c r="R103" s="23" t="n"/>
      <c r="S103" s="20" t="n"/>
      <c r="T103" s="20" t="n"/>
    </row>
    <row r="104">
      <c r="A104" s="30" t="n"/>
      <c r="B104" s="17">
        <f>IF(案件管理!$A104="","",IF(OR($A104="✓",LEFT(案件管理!$U104,2)="A："),"◎ 上申対象",IF(LEFT(案件管理!$U104,2)="B：","△ 要相談","—")))</f>
        <v/>
      </c>
      <c r="C104" s="17">
        <f>IF(OR($B104="",$B104="—"),"",案件管理!$A104)</f>
        <v/>
      </c>
      <c r="D104" s="17">
        <f>IF(OR($B104="",$B104="—"),"",案件管理!$B104)</f>
        <v/>
      </c>
      <c r="E104" s="31">
        <f>IF(OR($B104="",$B104="—"),"",案件管理!$C104)</f>
        <v/>
      </c>
      <c r="F104" s="17">
        <f>IF(OR($B104="",$B104="—"),"",案件管理!$D104)</f>
        <v/>
      </c>
      <c r="G104" s="32">
        <f>IF(OR($B104="",$B104="—"),"",案件管理!$E104)</f>
        <v/>
      </c>
      <c r="H104" s="32">
        <f>IF(OR($B104="",$B104="—"),"",案件管理!$F104)</f>
        <v/>
      </c>
      <c r="I104" s="15">
        <f>IF(OR($B104="",$B104="—"),"",案件管理!$G104)</f>
        <v/>
      </c>
      <c r="J104" s="32">
        <f>IF(OR($B104="",$B104="—"),"",案件管理!$H104)</f>
        <v/>
      </c>
      <c r="K104" s="17">
        <f>IF(OR($B104="",$B104="—"),"",案件管理!$U104)</f>
        <v/>
      </c>
      <c r="L104" s="18">
        <f>IF(OR($B104="",$B104="—"),"",案件管理!$V104)</f>
        <v/>
      </c>
      <c r="M104" s="31">
        <f>IF(OR($B104="",$B104="—"),"",IF(案件管理!$I104="×","1-1 ","")&amp;IF(案件管理!$J104="×","1-2 ","")&amp;IF(案件管理!$K104="×","1-3 ","")&amp;IF(案件管理!$L104="×","2 ","")&amp;IF(案件管理!$M104="×","3 ","")&amp;IF(案件管理!$N104="×","4 ","")&amp;IF(案件管理!$O104="×","5 ","")&amp;IF(案件管理!$P104="×","8-1 ","")&amp;IF(案件管理!$Q104="×","8-2 ","")&amp;IF(案件管理!$R104="×","9 ","")&amp;IF(案件管理!$S104="×","11 ","")&amp;IF(案件管理!$T104="×","12 ",""))</f>
        <v/>
      </c>
      <c r="N104" s="31">
        <f>IF(OR($B104="",$B104="—"),"",IF(案件管理!$I104="－","1-1 ","")&amp;IF(案件管理!$J104="－","1-2 ","")&amp;IF(案件管理!$K104="－","1-3 ","")&amp;IF(案件管理!$L104="－","2 ","")&amp;IF(案件管理!$M104="－","3 ","")&amp;IF(案件管理!$N104="－","4 ","")&amp;IF(案件管理!$O104="－","5 ","")&amp;IF(案件管理!$P104="－","8-1 ","")&amp;IF(案件管理!$Q104="－","8-2 ","")&amp;IF(案件管理!$R104="－","9 ","")&amp;IF(案件管理!$S104="－","11 ","")&amp;IF(案件管理!$T104="－","12 ",""))</f>
        <v/>
      </c>
      <c r="O104" s="31">
        <f>IF(OR($B104="",$B104="—"),"",案件管理!$AB104)</f>
        <v/>
      </c>
      <c r="P104" s="17">
        <f>IF(OR($B104="",$B104="—"),"",案件管理!$X104)</f>
        <v/>
      </c>
      <c r="Q104" s="22" t="n"/>
      <c r="R104" s="23" t="n"/>
      <c r="S104" s="20" t="n"/>
      <c r="T104" s="20" t="n"/>
    </row>
  </sheetData>
  <autoFilter ref="A4:T104"/>
  <mergeCells count="2">
    <mergeCell ref="A3:T3"/>
    <mergeCell ref="A2:T2"/>
  </mergeCells>
  <conditionalFormatting sqref="B5:B104">
    <cfRule type="expression" priority="1" dxfId="0">
      <formula>EXACT(B5,"◎ 上申対象")</formula>
    </cfRule>
    <cfRule type="expression" priority="2" dxfId="2">
      <formula>EXACT(B5,"△ 要相談")</formula>
    </cfRule>
  </conditionalFormatting>
  <dataValidations count="2">
    <dataValidation sqref="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showDropDown="0" showInputMessage="0" showErrorMessage="0" allowBlank="1" type="list">
      <formula1>"進める,条件付きで進める,追加検討,見送り"</formula1>
    </dataValidation>
    <dataValidation sqref="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8" customWidth="1" min="1" max="1"/>
    <col width="8" customWidth="1" min="2" max="2"/>
    <col width="10" customWidth="1" min="3" max="3"/>
    <col width="10" customWidth="1" min="4" max="4"/>
    <col width="11" customWidth="1" min="5" max="5"/>
    <col width="13" customWidth="1" min="6" max="6"/>
    <col width="24" customWidth="1" min="7" max="7"/>
    <col width="14" customWidth="1" min="8" max="8"/>
    <col width="14" customWidth="1" min="9" max="9"/>
    <col width="11"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s>
  <sheetData>
    <row r="1">
      <c r="A1" s="2" t="inlineStr">
        <is>
          <t>※条件合致＝EV/EBITDAマルチプルが上限以下 かつ 実態EBITDAが範囲内 かつ 業種区分がNG業種以外。しきい値は判定基準タブ（下部のパラメータ）で変更できます。</t>
        </is>
      </c>
    </row>
    <row r="2" ht="20" customHeight="1">
      <c r="A2" s="33" t="inlineStr">
        <is>
          <t>仲介会社名</t>
        </is>
      </c>
      <c r="B2" s="33" t="inlineStr">
        <is>
          <t>合計</t>
        </is>
      </c>
      <c r="C2" s="33" t="inlineStr">
        <is>
          <t>仲介重要度</t>
        </is>
      </c>
      <c r="D2" s="33" t="inlineStr">
        <is>
          <t>担当者</t>
        </is>
      </c>
      <c r="E2" s="33" t="inlineStr">
        <is>
          <t>初回面談日</t>
        </is>
      </c>
      <c r="F2" s="33" t="inlineStr">
        <is>
          <t>NDA締結日</t>
        </is>
      </c>
      <c r="G2" s="33" t="inlineStr">
        <is>
          <t>備考</t>
        </is>
      </c>
      <c r="H2" s="33" t="inlineStr">
        <is>
          <t>手数料</t>
        </is>
      </c>
      <c r="I2" s="33" t="inlineStr">
        <is>
          <t>算定方式</t>
        </is>
      </c>
      <c r="J2" s="33" t="inlineStr">
        <is>
          <t>着手金</t>
        </is>
      </c>
      <c r="K2" s="33" t="inlineStr">
        <is>
          <t>中間報酬</t>
        </is>
      </c>
      <c r="L2" s="5" t="inlineStr">
        <is>
          <t>2026年9月</t>
        </is>
      </c>
      <c r="N2" s="5" t="inlineStr">
        <is>
          <t>2026年10月</t>
        </is>
      </c>
      <c r="P2" s="5" t="inlineStr">
        <is>
          <t>2026年11月</t>
        </is>
      </c>
      <c r="R2" s="5" t="inlineStr">
        <is>
          <t>2026年12月</t>
        </is>
      </c>
      <c r="T2" s="5" t="inlineStr">
        <is>
          <t>2027年1月</t>
        </is>
      </c>
      <c r="V2" s="5" t="inlineStr">
        <is>
          <t>2027年2月</t>
        </is>
      </c>
      <c r="X2" s="5" t="inlineStr">
        <is>
          <t>2027年3月</t>
        </is>
      </c>
      <c r="Z2" s="5" t="inlineStr">
        <is>
          <t>2027年4月</t>
        </is>
      </c>
      <c r="AB2" s="5" t="inlineStr">
        <is>
          <t>2027年5月</t>
        </is>
      </c>
      <c r="AD2" s="5" t="inlineStr">
        <is>
          <t>2027年6月</t>
        </is>
      </c>
      <c r="AF2" s="5" t="inlineStr">
        <is>
          <t>2027年7月</t>
        </is>
      </c>
      <c r="AH2" s="5" t="inlineStr">
        <is>
          <t>2027年8月</t>
        </is>
      </c>
      <c r="AJ2" s="34" t="inlineStr">
        <is>
          <t>年間
流入計</t>
        </is>
      </c>
      <c r="AK2" s="34" t="inlineStr">
        <is>
          <t>年間
合致計</t>
        </is>
      </c>
      <c r="AL2" s="34" t="inlineStr">
        <is>
          <t>合致率</t>
        </is>
      </c>
    </row>
    <row r="3" ht="30" customHeight="1">
      <c r="L3" s="33" t="inlineStr">
        <is>
          <t>流入
案件数</t>
        </is>
      </c>
      <c r="M3" s="33" t="inlineStr">
        <is>
          <t>条件合致
案件数</t>
        </is>
      </c>
      <c r="N3" s="33" t="inlineStr">
        <is>
          <t>流入
案件数</t>
        </is>
      </c>
      <c r="O3" s="33" t="inlineStr">
        <is>
          <t>条件合致
案件数</t>
        </is>
      </c>
      <c r="P3" s="33" t="inlineStr">
        <is>
          <t>流入
案件数</t>
        </is>
      </c>
      <c r="Q3" s="33" t="inlineStr">
        <is>
          <t>条件合致
案件数</t>
        </is>
      </c>
      <c r="R3" s="33" t="inlineStr">
        <is>
          <t>流入
案件数</t>
        </is>
      </c>
      <c r="S3" s="33" t="inlineStr">
        <is>
          <t>条件合致
案件数</t>
        </is>
      </c>
      <c r="T3" s="33" t="inlineStr">
        <is>
          <t>流入
案件数</t>
        </is>
      </c>
      <c r="U3" s="33" t="inlineStr">
        <is>
          <t>条件合致
案件数</t>
        </is>
      </c>
      <c r="V3" s="33" t="inlineStr">
        <is>
          <t>流入
案件数</t>
        </is>
      </c>
      <c r="W3" s="33" t="inlineStr">
        <is>
          <t>条件合致
案件数</t>
        </is>
      </c>
      <c r="X3" s="33" t="inlineStr">
        <is>
          <t>流入
案件数</t>
        </is>
      </c>
      <c r="Y3" s="33" t="inlineStr">
        <is>
          <t>条件合致
案件数</t>
        </is>
      </c>
      <c r="Z3" s="33" t="inlineStr">
        <is>
          <t>流入
案件数</t>
        </is>
      </c>
      <c r="AA3" s="33" t="inlineStr">
        <is>
          <t>条件合致
案件数</t>
        </is>
      </c>
      <c r="AB3" s="33" t="inlineStr">
        <is>
          <t>流入
案件数</t>
        </is>
      </c>
      <c r="AC3" s="33" t="inlineStr">
        <is>
          <t>条件合致
案件数</t>
        </is>
      </c>
      <c r="AD3" s="33" t="inlineStr">
        <is>
          <t>流入
案件数</t>
        </is>
      </c>
      <c r="AE3" s="33" t="inlineStr">
        <is>
          <t>条件合致
案件数</t>
        </is>
      </c>
      <c r="AF3" s="33" t="inlineStr">
        <is>
          <t>流入
案件数</t>
        </is>
      </c>
      <c r="AG3" s="33" t="inlineStr">
        <is>
          <t>条件合致
案件数</t>
        </is>
      </c>
      <c r="AH3" s="33" t="inlineStr">
        <is>
          <t>流入
案件数</t>
        </is>
      </c>
      <c r="AI3" s="33" t="inlineStr">
        <is>
          <t>条件合致
案件数</t>
        </is>
      </c>
    </row>
    <row r="4">
      <c r="A4" s="35" t="inlineStr">
        <is>
          <t>全社合計</t>
        </is>
      </c>
      <c r="B4" s="35" t="inlineStr">
        <is>
          <t>合計</t>
        </is>
      </c>
      <c r="C4" s="35" t="n"/>
      <c r="D4" s="35" t="n"/>
      <c r="E4" s="35" t="n"/>
      <c r="F4" s="35" t="n"/>
      <c r="G4" s="35" t="n"/>
      <c r="H4" s="35" t="n"/>
      <c r="I4" s="35" t="n"/>
      <c r="J4" s="35" t="n"/>
      <c r="K4" s="35" t="n"/>
      <c r="L4" s="35">
        <f>SUM(L5:L40)</f>
        <v/>
      </c>
      <c r="M4" s="35">
        <f>SUM(M5:M40)</f>
        <v/>
      </c>
      <c r="N4" s="35">
        <f>SUM(N5:N40)</f>
        <v/>
      </c>
      <c r="O4" s="35">
        <f>SUM(O5:O40)</f>
        <v/>
      </c>
      <c r="P4" s="35">
        <f>SUM(P5:P40)</f>
        <v/>
      </c>
      <c r="Q4" s="35">
        <f>SUM(Q5:Q40)</f>
        <v/>
      </c>
      <c r="R4" s="35">
        <f>SUM(R5:R40)</f>
        <v/>
      </c>
      <c r="S4" s="35">
        <f>SUM(S5:S40)</f>
        <v/>
      </c>
      <c r="T4" s="35">
        <f>SUM(T5:T40)</f>
        <v/>
      </c>
      <c r="U4" s="35">
        <f>SUM(U5:U40)</f>
        <v/>
      </c>
      <c r="V4" s="35">
        <f>SUM(V5:V40)</f>
        <v/>
      </c>
      <c r="W4" s="35">
        <f>SUM(W5:W40)</f>
        <v/>
      </c>
      <c r="X4" s="35">
        <f>SUM(X5:X40)</f>
        <v/>
      </c>
      <c r="Y4" s="35">
        <f>SUM(Y5:Y40)</f>
        <v/>
      </c>
      <c r="Z4" s="35">
        <f>SUM(Z5:Z40)</f>
        <v/>
      </c>
      <c r="AA4" s="35">
        <f>SUM(AA5:AA40)</f>
        <v/>
      </c>
      <c r="AB4" s="35">
        <f>SUM(AB5:AB40)</f>
        <v/>
      </c>
      <c r="AC4" s="35">
        <f>SUM(AC5:AC40)</f>
        <v/>
      </c>
      <c r="AD4" s="35">
        <f>SUM(AD5:AD40)</f>
        <v/>
      </c>
      <c r="AE4" s="35">
        <f>SUM(AE5:AE40)</f>
        <v/>
      </c>
      <c r="AF4" s="35">
        <f>SUM(AF5:AF40)</f>
        <v/>
      </c>
      <c r="AG4" s="35">
        <f>SUM(AG5:AG40)</f>
        <v/>
      </c>
      <c r="AH4" s="35">
        <f>SUM(AH5:AH40)</f>
        <v/>
      </c>
      <c r="AI4" s="35">
        <f>SUM(AI5:AI40)</f>
        <v/>
      </c>
      <c r="AJ4" s="35">
        <f>SUM(AJ5:AJ40)</f>
        <v/>
      </c>
      <c r="AK4" s="35">
        <f>SUM(AK5:AK40)</f>
        <v/>
      </c>
      <c r="AL4" s="36">
        <f>IF(AJ4=0,"",AK4/AJ4)</f>
        <v/>
      </c>
    </row>
    <row r="5">
      <c r="A5" s="23" t="inlineStr">
        <is>
          <t>株式会社M&amp;Aクラウド</t>
        </is>
      </c>
      <c r="B5" s="17" t="n"/>
      <c r="C5" s="23" t="inlineStr">
        <is>
          <t>C</t>
        </is>
      </c>
      <c r="D5" s="23" t="inlineStr">
        <is>
          <t>吉田</t>
        </is>
      </c>
      <c r="E5" s="22" t="n">
        <v>46265</v>
      </c>
      <c r="F5" s="23" t="n"/>
      <c r="G5" s="20" t="n"/>
      <c r="H5" s="23" t="n"/>
      <c r="I5" s="23" t="n"/>
      <c r="J5" s="23" t="n"/>
      <c r="K5" s="23" t="n"/>
      <c r="L5" s="37">
        <f>COUNTIFS(案件管理!$AD$5:$AD$104,"&gt;="&amp;DATE(2026,9,1),案件管理!$AD$5:$AD$104,"&lt;"&amp;DATE(2026,10,1),案件管理!$AE$5:$AE$104,$A5)</f>
        <v/>
      </c>
      <c r="M5" s="37">
        <f>COUNTIFS(案件管理!$AD$5:$AD$104,"&gt;="&amp;DATE(2026,9,1),案件管理!$AD$5:$AD$104,"&lt;"&amp;DATE(2026,10,1),案件管理!$AE$5:$AE$104,$A5,案件管理!$F$5:$F$104,"&gt;="&amp;判定基準!$B$32,案件管理!$F$5:$F$104,"&lt;="&amp;判定基準!$B$33,案件管理!$G$5:$G$104,"&lt;="&amp;判定基準!$B$34,案件管理!$D$5:$D$104,"&lt;&gt;"&amp;判定基準!$B$35)</f>
        <v/>
      </c>
      <c r="N5" s="37">
        <f>COUNTIFS(案件管理!$AD$5:$AD$104,"&gt;="&amp;DATE(2026,10,1),案件管理!$AD$5:$AD$104,"&lt;"&amp;DATE(2026,11,1),案件管理!$AE$5:$AE$104,$A5)</f>
        <v/>
      </c>
      <c r="O5" s="37">
        <f>COUNTIFS(案件管理!$AD$5:$AD$104,"&gt;="&amp;DATE(2026,10,1),案件管理!$AD$5:$AD$104,"&lt;"&amp;DATE(2026,11,1),案件管理!$AE$5:$AE$104,$A5,案件管理!$F$5:$F$104,"&gt;="&amp;判定基準!$B$32,案件管理!$F$5:$F$104,"&lt;="&amp;判定基準!$B$33,案件管理!$G$5:$G$104,"&lt;="&amp;判定基準!$B$34,案件管理!$D$5:$D$104,"&lt;&gt;"&amp;判定基準!$B$35)</f>
        <v/>
      </c>
      <c r="P5" s="37">
        <f>COUNTIFS(案件管理!$AD$5:$AD$104,"&gt;="&amp;DATE(2026,11,1),案件管理!$AD$5:$AD$104,"&lt;"&amp;DATE(2026,12,1),案件管理!$AE$5:$AE$104,$A5)</f>
        <v/>
      </c>
      <c r="Q5" s="37">
        <f>COUNTIFS(案件管理!$AD$5:$AD$104,"&gt;="&amp;DATE(2026,11,1),案件管理!$AD$5:$AD$104,"&lt;"&amp;DATE(2026,12,1),案件管理!$AE$5:$AE$104,$A5,案件管理!$F$5:$F$104,"&gt;="&amp;判定基準!$B$32,案件管理!$F$5:$F$104,"&lt;="&amp;判定基準!$B$33,案件管理!$G$5:$G$104,"&lt;="&amp;判定基準!$B$34,案件管理!$D$5:$D$104,"&lt;&gt;"&amp;判定基準!$B$35)</f>
        <v/>
      </c>
      <c r="R5" s="37">
        <f>COUNTIFS(案件管理!$AD$5:$AD$104,"&gt;="&amp;DATE(2026,12,1),案件管理!$AD$5:$AD$104,"&lt;"&amp;DATE(2027,1,1),案件管理!$AE$5:$AE$104,$A5)</f>
        <v/>
      </c>
      <c r="S5" s="37">
        <f>COUNTIFS(案件管理!$AD$5:$AD$104,"&gt;="&amp;DATE(2026,12,1),案件管理!$AD$5:$AD$104,"&lt;"&amp;DATE(2027,1,1),案件管理!$AE$5:$AE$104,$A5,案件管理!$F$5:$F$104,"&gt;="&amp;判定基準!$B$32,案件管理!$F$5:$F$104,"&lt;="&amp;判定基準!$B$33,案件管理!$G$5:$G$104,"&lt;="&amp;判定基準!$B$34,案件管理!$D$5:$D$104,"&lt;&gt;"&amp;判定基準!$B$35)</f>
        <v/>
      </c>
      <c r="T5" s="37">
        <f>COUNTIFS(案件管理!$AD$5:$AD$104,"&gt;="&amp;DATE(2027,1,1),案件管理!$AD$5:$AD$104,"&lt;"&amp;DATE(2027,2,1),案件管理!$AE$5:$AE$104,$A5)</f>
        <v/>
      </c>
      <c r="U5" s="37">
        <f>COUNTIFS(案件管理!$AD$5:$AD$104,"&gt;="&amp;DATE(2027,1,1),案件管理!$AD$5:$AD$104,"&lt;"&amp;DATE(2027,2,1),案件管理!$AE$5:$AE$104,$A5,案件管理!$F$5:$F$104,"&gt;="&amp;判定基準!$B$32,案件管理!$F$5:$F$104,"&lt;="&amp;判定基準!$B$33,案件管理!$G$5:$G$104,"&lt;="&amp;判定基準!$B$34,案件管理!$D$5:$D$104,"&lt;&gt;"&amp;判定基準!$B$35)</f>
        <v/>
      </c>
      <c r="V5" s="37">
        <f>COUNTIFS(案件管理!$AD$5:$AD$104,"&gt;="&amp;DATE(2027,2,1),案件管理!$AD$5:$AD$104,"&lt;"&amp;DATE(2027,3,1),案件管理!$AE$5:$AE$104,$A5)</f>
        <v/>
      </c>
      <c r="W5" s="37">
        <f>COUNTIFS(案件管理!$AD$5:$AD$104,"&gt;="&amp;DATE(2027,2,1),案件管理!$AD$5:$AD$104,"&lt;"&amp;DATE(2027,3,1),案件管理!$AE$5:$AE$104,$A5,案件管理!$F$5:$F$104,"&gt;="&amp;判定基準!$B$32,案件管理!$F$5:$F$104,"&lt;="&amp;判定基準!$B$33,案件管理!$G$5:$G$104,"&lt;="&amp;判定基準!$B$34,案件管理!$D$5:$D$104,"&lt;&gt;"&amp;判定基準!$B$35)</f>
        <v/>
      </c>
      <c r="X5" s="37">
        <f>COUNTIFS(案件管理!$AD$5:$AD$104,"&gt;="&amp;DATE(2027,3,1),案件管理!$AD$5:$AD$104,"&lt;"&amp;DATE(2027,4,1),案件管理!$AE$5:$AE$104,$A5)</f>
        <v/>
      </c>
      <c r="Y5" s="37">
        <f>COUNTIFS(案件管理!$AD$5:$AD$104,"&gt;="&amp;DATE(2027,3,1),案件管理!$AD$5:$AD$104,"&lt;"&amp;DATE(2027,4,1),案件管理!$AE$5:$AE$104,$A5,案件管理!$F$5:$F$104,"&gt;="&amp;判定基準!$B$32,案件管理!$F$5:$F$104,"&lt;="&amp;判定基準!$B$33,案件管理!$G$5:$G$104,"&lt;="&amp;判定基準!$B$34,案件管理!$D$5:$D$104,"&lt;&gt;"&amp;判定基準!$B$35)</f>
        <v/>
      </c>
      <c r="Z5" s="37">
        <f>COUNTIFS(案件管理!$AD$5:$AD$104,"&gt;="&amp;DATE(2027,4,1),案件管理!$AD$5:$AD$104,"&lt;"&amp;DATE(2027,5,1),案件管理!$AE$5:$AE$104,$A5)</f>
        <v/>
      </c>
      <c r="AA5" s="37">
        <f>COUNTIFS(案件管理!$AD$5:$AD$104,"&gt;="&amp;DATE(2027,4,1),案件管理!$AD$5:$AD$104,"&lt;"&amp;DATE(2027,5,1),案件管理!$AE$5:$AE$104,$A5,案件管理!$F$5:$F$104,"&gt;="&amp;判定基準!$B$32,案件管理!$F$5:$F$104,"&lt;="&amp;判定基準!$B$33,案件管理!$G$5:$G$104,"&lt;="&amp;判定基準!$B$34,案件管理!$D$5:$D$104,"&lt;&gt;"&amp;判定基準!$B$35)</f>
        <v/>
      </c>
      <c r="AB5" s="37">
        <f>COUNTIFS(案件管理!$AD$5:$AD$104,"&gt;="&amp;DATE(2027,5,1),案件管理!$AD$5:$AD$104,"&lt;"&amp;DATE(2027,6,1),案件管理!$AE$5:$AE$104,$A5)</f>
        <v/>
      </c>
      <c r="AC5" s="37">
        <f>COUNTIFS(案件管理!$AD$5:$AD$104,"&gt;="&amp;DATE(2027,5,1),案件管理!$AD$5:$AD$104,"&lt;"&amp;DATE(2027,6,1),案件管理!$AE$5:$AE$104,$A5,案件管理!$F$5:$F$104,"&gt;="&amp;判定基準!$B$32,案件管理!$F$5:$F$104,"&lt;="&amp;判定基準!$B$33,案件管理!$G$5:$G$104,"&lt;="&amp;判定基準!$B$34,案件管理!$D$5:$D$104,"&lt;&gt;"&amp;判定基準!$B$35)</f>
        <v/>
      </c>
      <c r="AD5" s="37">
        <f>COUNTIFS(案件管理!$AD$5:$AD$104,"&gt;="&amp;DATE(2027,6,1),案件管理!$AD$5:$AD$104,"&lt;"&amp;DATE(2027,7,1),案件管理!$AE$5:$AE$104,$A5)</f>
        <v/>
      </c>
      <c r="AE5" s="37">
        <f>COUNTIFS(案件管理!$AD$5:$AD$104,"&gt;="&amp;DATE(2027,6,1),案件管理!$AD$5:$AD$104,"&lt;"&amp;DATE(2027,7,1),案件管理!$AE$5:$AE$104,$A5,案件管理!$F$5:$F$104,"&gt;="&amp;判定基準!$B$32,案件管理!$F$5:$F$104,"&lt;="&amp;判定基準!$B$33,案件管理!$G$5:$G$104,"&lt;="&amp;判定基準!$B$34,案件管理!$D$5:$D$104,"&lt;&gt;"&amp;判定基準!$B$35)</f>
        <v/>
      </c>
      <c r="AF5" s="37">
        <f>COUNTIFS(案件管理!$AD$5:$AD$104,"&gt;="&amp;DATE(2027,7,1),案件管理!$AD$5:$AD$104,"&lt;"&amp;DATE(2027,8,1),案件管理!$AE$5:$AE$104,$A5)</f>
        <v/>
      </c>
      <c r="AG5" s="37">
        <f>COUNTIFS(案件管理!$AD$5:$AD$104,"&gt;="&amp;DATE(2027,7,1),案件管理!$AD$5:$AD$104,"&lt;"&amp;DATE(2027,8,1),案件管理!$AE$5:$AE$104,$A5,案件管理!$F$5:$F$104,"&gt;="&amp;判定基準!$B$32,案件管理!$F$5:$F$104,"&lt;="&amp;判定基準!$B$33,案件管理!$G$5:$G$104,"&lt;="&amp;判定基準!$B$34,案件管理!$D$5:$D$104,"&lt;&gt;"&amp;判定基準!$B$35)</f>
        <v/>
      </c>
      <c r="AH5" s="37">
        <f>COUNTIFS(案件管理!$AD$5:$AD$104,"&gt;="&amp;DATE(2027,8,1),案件管理!$AD$5:$AD$104,"&lt;"&amp;DATE(2027,9,1),案件管理!$AE$5:$AE$104,$A5)</f>
        <v/>
      </c>
      <c r="AI5" s="37">
        <f>COUNTIFS(案件管理!$AD$5:$AD$104,"&gt;="&amp;DATE(2027,8,1),案件管理!$AD$5:$AD$104,"&lt;"&amp;DATE(2027,9,1),案件管理!$AE$5:$AE$104,$A5,案件管理!$F$5:$F$104,"&gt;="&amp;判定基準!$B$32,案件管理!$F$5:$F$104,"&lt;="&amp;判定基準!$B$33,案件管理!$G$5:$G$104,"&lt;="&amp;判定基準!$B$34,案件管理!$D$5:$D$104,"&lt;&gt;"&amp;判定基準!$B$35)</f>
        <v/>
      </c>
      <c r="AJ5" s="37">
        <f>L5+N5+P5+R5+T5+V5+X5+Z5+AB5+AD5+AF5+AH5</f>
        <v/>
      </c>
      <c r="AK5" s="37">
        <f>M5+O5+Q5+S5+U5+W5+Y5+AA5+AC5+AE5+AG5+AI5</f>
        <v/>
      </c>
      <c r="AL5" s="38">
        <f>IF(AJ5=0,"",AK5/AJ5)</f>
        <v/>
      </c>
    </row>
    <row r="6">
      <c r="A6" s="23" t="inlineStr">
        <is>
          <t>株式会社レコフ</t>
        </is>
      </c>
      <c r="B6" s="17" t="n"/>
      <c r="C6" s="23" t="inlineStr">
        <is>
          <t>B</t>
        </is>
      </c>
      <c r="D6" s="23" t="inlineStr">
        <is>
          <t>小林</t>
        </is>
      </c>
      <c r="E6" s="22" t="n">
        <v>46269</v>
      </c>
      <c r="F6" s="23" t="n"/>
      <c r="G6" s="20" t="n"/>
      <c r="H6" s="23" t="n"/>
      <c r="I6" s="23" t="n"/>
      <c r="J6" s="23" t="n"/>
      <c r="K6" s="23" t="n"/>
      <c r="L6" s="37">
        <f>COUNTIFS(案件管理!$AD$5:$AD$104,"&gt;="&amp;DATE(2026,9,1),案件管理!$AD$5:$AD$104,"&lt;"&amp;DATE(2026,10,1),案件管理!$AE$5:$AE$104,$A6)</f>
        <v/>
      </c>
      <c r="M6" s="37">
        <f>COUNTIFS(案件管理!$AD$5:$AD$104,"&gt;="&amp;DATE(2026,9,1),案件管理!$AD$5:$AD$104,"&lt;"&amp;DATE(2026,10,1),案件管理!$AE$5:$AE$104,$A6,案件管理!$F$5:$F$104,"&gt;="&amp;判定基準!$B$32,案件管理!$F$5:$F$104,"&lt;="&amp;判定基準!$B$33,案件管理!$G$5:$G$104,"&lt;="&amp;判定基準!$B$34,案件管理!$D$5:$D$104,"&lt;&gt;"&amp;判定基準!$B$35)</f>
        <v/>
      </c>
      <c r="N6" s="37">
        <f>COUNTIFS(案件管理!$AD$5:$AD$104,"&gt;="&amp;DATE(2026,10,1),案件管理!$AD$5:$AD$104,"&lt;"&amp;DATE(2026,11,1),案件管理!$AE$5:$AE$104,$A6)</f>
        <v/>
      </c>
      <c r="O6" s="37">
        <f>COUNTIFS(案件管理!$AD$5:$AD$104,"&gt;="&amp;DATE(2026,10,1),案件管理!$AD$5:$AD$104,"&lt;"&amp;DATE(2026,11,1),案件管理!$AE$5:$AE$104,$A6,案件管理!$F$5:$F$104,"&gt;="&amp;判定基準!$B$32,案件管理!$F$5:$F$104,"&lt;="&amp;判定基準!$B$33,案件管理!$G$5:$G$104,"&lt;="&amp;判定基準!$B$34,案件管理!$D$5:$D$104,"&lt;&gt;"&amp;判定基準!$B$35)</f>
        <v/>
      </c>
      <c r="P6" s="37">
        <f>COUNTIFS(案件管理!$AD$5:$AD$104,"&gt;="&amp;DATE(2026,11,1),案件管理!$AD$5:$AD$104,"&lt;"&amp;DATE(2026,12,1),案件管理!$AE$5:$AE$104,$A6)</f>
        <v/>
      </c>
      <c r="Q6" s="37">
        <f>COUNTIFS(案件管理!$AD$5:$AD$104,"&gt;="&amp;DATE(2026,11,1),案件管理!$AD$5:$AD$104,"&lt;"&amp;DATE(2026,12,1),案件管理!$AE$5:$AE$104,$A6,案件管理!$F$5:$F$104,"&gt;="&amp;判定基準!$B$32,案件管理!$F$5:$F$104,"&lt;="&amp;判定基準!$B$33,案件管理!$G$5:$G$104,"&lt;="&amp;判定基準!$B$34,案件管理!$D$5:$D$104,"&lt;&gt;"&amp;判定基準!$B$35)</f>
        <v/>
      </c>
      <c r="R6" s="37">
        <f>COUNTIFS(案件管理!$AD$5:$AD$104,"&gt;="&amp;DATE(2026,12,1),案件管理!$AD$5:$AD$104,"&lt;"&amp;DATE(2027,1,1),案件管理!$AE$5:$AE$104,$A6)</f>
        <v/>
      </c>
      <c r="S6" s="37">
        <f>COUNTIFS(案件管理!$AD$5:$AD$104,"&gt;="&amp;DATE(2026,12,1),案件管理!$AD$5:$AD$104,"&lt;"&amp;DATE(2027,1,1),案件管理!$AE$5:$AE$104,$A6,案件管理!$F$5:$F$104,"&gt;="&amp;判定基準!$B$32,案件管理!$F$5:$F$104,"&lt;="&amp;判定基準!$B$33,案件管理!$G$5:$G$104,"&lt;="&amp;判定基準!$B$34,案件管理!$D$5:$D$104,"&lt;&gt;"&amp;判定基準!$B$35)</f>
        <v/>
      </c>
      <c r="T6" s="37">
        <f>COUNTIFS(案件管理!$AD$5:$AD$104,"&gt;="&amp;DATE(2027,1,1),案件管理!$AD$5:$AD$104,"&lt;"&amp;DATE(2027,2,1),案件管理!$AE$5:$AE$104,$A6)</f>
        <v/>
      </c>
      <c r="U6" s="37">
        <f>COUNTIFS(案件管理!$AD$5:$AD$104,"&gt;="&amp;DATE(2027,1,1),案件管理!$AD$5:$AD$104,"&lt;"&amp;DATE(2027,2,1),案件管理!$AE$5:$AE$104,$A6,案件管理!$F$5:$F$104,"&gt;="&amp;判定基準!$B$32,案件管理!$F$5:$F$104,"&lt;="&amp;判定基準!$B$33,案件管理!$G$5:$G$104,"&lt;="&amp;判定基準!$B$34,案件管理!$D$5:$D$104,"&lt;&gt;"&amp;判定基準!$B$35)</f>
        <v/>
      </c>
      <c r="V6" s="37">
        <f>COUNTIFS(案件管理!$AD$5:$AD$104,"&gt;="&amp;DATE(2027,2,1),案件管理!$AD$5:$AD$104,"&lt;"&amp;DATE(2027,3,1),案件管理!$AE$5:$AE$104,$A6)</f>
        <v/>
      </c>
      <c r="W6" s="37">
        <f>COUNTIFS(案件管理!$AD$5:$AD$104,"&gt;="&amp;DATE(2027,2,1),案件管理!$AD$5:$AD$104,"&lt;"&amp;DATE(2027,3,1),案件管理!$AE$5:$AE$104,$A6,案件管理!$F$5:$F$104,"&gt;="&amp;判定基準!$B$32,案件管理!$F$5:$F$104,"&lt;="&amp;判定基準!$B$33,案件管理!$G$5:$G$104,"&lt;="&amp;判定基準!$B$34,案件管理!$D$5:$D$104,"&lt;&gt;"&amp;判定基準!$B$35)</f>
        <v/>
      </c>
      <c r="X6" s="37">
        <f>COUNTIFS(案件管理!$AD$5:$AD$104,"&gt;="&amp;DATE(2027,3,1),案件管理!$AD$5:$AD$104,"&lt;"&amp;DATE(2027,4,1),案件管理!$AE$5:$AE$104,$A6)</f>
        <v/>
      </c>
      <c r="Y6" s="37">
        <f>COUNTIFS(案件管理!$AD$5:$AD$104,"&gt;="&amp;DATE(2027,3,1),案件管理!$AD$5:$AD$104,"&lt;"&amp;DATE(2027,4,1),案件管理!$AE$5:$AE$104,$A6,案件管理!$F$5:$F$104,"&gt;="&amp;判定基準!$B$32,案件管理!$F$5:$F$104,"&lt;="&amp;判定基準!$B$33,案件管理!$G$5:$G$104,"&lt;="&amp;判定基準!$B$34,案件管理!$D$5:$D$104,"&lt;&gt;"&amp;判定基準!$B$35)</f>
        <v/>
      </c>
      <c r="Z6" s="37">
        <f>COUNTIFS(案件管理!$AD$5:$AD$104,"&gt;="&amp;DATE(2027,4,1),案件管理!$AD$5:$AD$104,"&lt;"&amp;DATE(2027,5,1),案件管理!$AE$5:$AE$104,$A6)</f>
        <v/>
      </c>
      <c r="AA6" s="37">
        <f>COUNTIFS(案件管理!$AD$5:$AD$104,"&gt;="&amp;DATE(2027,4,1),案件管理!$AD$5:$AD$104,"&lt;"&amp;DATE(2027,5,1),案件管理!$AE$5:$AE$104,$A6,案件管理!$F$5:$F$104,"&gt;="&amp;判定基準!$B$32,案件管理!$F$5:$F$104,"&lt;="&amp;判定基準!$B$33,案件管理!$G$5:$G$104,"&lt;="&amp;判定基準!$B$34,案件管理!$D$5:$D$104,"&lt;&gt;"&amp;判定基準!$B$35)</f>
        <v/>
      </c>
      <c r="AB6" s="37">
        <f>COUNTIFS(案件管理!$AD$5:$AD$104,"&gt;="&amp;DATE(2027,5,1),案件管理!$AD$5:$AD$104,"&lt;"&amp;DATE(2027,6,1),案件管理!$AE$5:$AE$104,$A6)</f>
        <v/>
      </c>
      <c r="AC6" s="37">
        <f>COUNTIFS(案件管理!$AD$5:$AD$104,"&gt;="&amp;DATE(2027,5,1),案件管理!$AD$5:$AD$104,"&lt;"&amp;DATE(2027,6,1),案件管理!$AE$5:$AE$104,$A6,案件管理!$F$5:$F$104,"&gt;="&amp;判定基準!$B$32,案件管理!$F$5:$F$104,"&lt;="&amp;判定基準!$B$33,案件管理!$G$5:$G$104,"&lt;="&amp;判定基準!$B$34,案件管理!$D$5:$D$104,"&lt;&gt;"&amp;判定基準!$B$35)</f>
        <v/>
      </c>
      <c r="AD6" s="37">
        <f>COUNTIFS(案件管理!$AD$5:$AD$104,"&gt;="&amp;DATE(2027,6,1),案件管理!$AD$5:$AD$104,"&lt;"&amp;DATE(2027,7,1),案件管理!$AE$5:$AE$104,$A6)</f>
        <v/>
      </c>
      <c r="AE6" s="37">
        <f>COUNTIFS(案件管理!$AD$5:$AD$104,"&gt;="&amp;DATE(2027,6,1),案件管理!$AD$5:$AD$104,"&lt;"&amp;DATE(2027,7,1),案件管理!$AE$5:$AE$104,$A6,案件管理!$F$5:$F$104,"&gt;="&amp;判定基準!$B$32,案件管理!$F$5:$F$104,"&lt;="&amp;判定基準!$B$33,案件管理!$G$5:$G$104,"&lt;="&amp;判定基準!$B$34,案件管理!$D$5:$D$104,"&lt;&gt;"&amp;判定基準!$B$35)</f>
        <v/>
      </c>
      <c r="AF6" s="37">
        <f>COUNTIFS(案件管理!$AD$5:$AD$104,"&gt;="&amp;DATE(2027,7,1),案件管理!$AD$5:$AD$104,"&lt;"&amp;DATE(2027,8,1),案件管理!$AE$5:$AE$104,$A6)</f>
        <v/>
      </c>
      <c r="AG6" s="37">
        <f>COUNTIFS(案件管理!$AD$5:$AD$104,"&gt;="&amp;DATE(2027,7,1),案件管理!$AD$5:$AD$104,"&lt;"&amp;DATE(2027,8,1),案件管理!$AE$5:$AE$104,$A6,案件管理!$F$5:$F$104,"&gt;="&amp;判定基準!$B$32,案件管理!$F$5:$F$104,"&lt;="&amp;判定基準!$B$33,案件管理!$G$5:$G$104,"&lt;="&amp;判定基準!$B$34,案件管理!$D$5:$D$104,"&lt;&gt;"&amp;判定基準!$B$35)</f>
        <v/>
      </c>
      <c r="AH6" s="37">
        <f>COUNTIFS(案件管理!$AD$5:$AD$104,"&gt;="&amp;DATE(2027,8,1),案件管理!$AD$5:$AD$104,"&lt;"&amp;DATE(2027,9,1),案件管理!$AE$5:$AE$104,$A6)</f>
        <v/>
      </c>
      <c r="AI6" s="37">
        <f>COUNTIFS(案件管理!$AD$5:$AD$104,"&gt;="&amp;DATE(2027,8,1),案件管理!$AD$5:$AD$104,"&lt;"&amp;DATE(2027,9,1),案件管理!$AE$5:$AE$104,$A6,案件管理!$F$5:$F$104,"&gt;="&amp;判定基準!$B$32,案件管理!$F$5:$F$104,"&lt;="&amp;判定基準!$B$33,案件管理!$G$5:$G$104,"&lt;="&amp;判定基準!$B$34,案件管理!$D$5:$D$104,"&lt;&gt;"&amp;判定基準!$B$35)</f>
        <v/>
      </c>
      <c r="AJ6" s="37">
        <f>L6+N6+P6+R6+T6+V6+X6+Z6+AB6+AD6+AF6+AH6</f>
        <v/>
      </c>
      <c r="AK6" s="37">
        <f>M6+O6+Q6+S6+U6+W6+Y6+AA6+AC6+AE6+AG6+AI6</f>
        <v/>
      </c>
      <c r="AL6" s="38">
        <f>IF(AJ6=0,"",AK6/AJ6)</f>
        <v/>
      </c>
    </row>
    <row r="7">
      <c r="A7" s="23" t="inlineStr">
        <is>
          <t>株式会社たすきコンサルティング</t>
        </is>
      </c>
      <c r="B7" s="17" t="n"/>
      <c r="C7" s="23" t="inlineStr">
        <is>
          <t>B</t>
        </is>
      </c>
      <c r="D7" s="23" t="inlineStr">
        <is>
          <t>山口</t>
        </is>
      </c>
      <c r="E7" s="22" t="n">
        <v>46266</v>
      </c>
      <c r="F7" s="23" t="n"/>
      <c r="G7" s="20" t="n"/>
      <c r="H7" s="23" t="n"/>
      <c r="I7" s="23" t="n"/>
      <c r="J7" s="23" t="n"/>
      <c r="K7" s="23" t="n"/>
      <c r="L7" s="37">
        <f>COUNTIFS(案件管理!$AD$5:$AD$104,"&gt;="&amp;DATE(2026,9,1),案件管理!$AD$5:$AD$104,"&lt;"&amp;DATE(2026,10,1),案件管理!$AE$5:$AE$104,$A7)</f>
        <v/>
      </c>
      <c r="M7" s="37">
        <f>COUNTIFS(案件管理!$AD$5:$AD$104,"&gt;="&amp;DATE(2026,9,1),案件管理!$AD$5:$AD$104,"&lt;"&amp;DATE(2026,10,1),案件管理!$AE$5:$AE$104,$A7,案件管理!$F$5:$F$104,"&gt;="&amp;判定基準!$B$32,案件管理!$F$5:$F$104,"&lt;="&amp;判定基準!$B$33,案件管理!$G$5:$G$104,"&lt;="&amp;判定基準!$B$34,案件管理!$D$5:$D$104,"&lt;&gt;"&amp;判定基準!$B$35)</f>
        <v/>
      </c>
      <c r="N7" s="37">
        <f>COUNTIFS(案件管理!$AD$5:$AD$104,"&gt;="&amp;DATE(2026,10,1),案件管理!$AD$5:$AD$104,"&lt;"&amp;DATE(2026,11,1),案件管理!$AE$5:$AE$104,$A7)</f>
        <v/>
      </c>
      <c r="O7" s="37">
        <f>COUNTIFS(案件管理!$AD$5:$AD$104,"&gt;="&amp;DATE(2026,10,1),案件管理!$AD$5:$AD$104,"&lt;"&amp;DATE(2026,11,1),案件管理!$AE$5:$AE$104,$A7,案件管理!$F$5:$F$104,"&gt;="&amp;判定基準!$B$32,案件管理!$F$5:$F$104,"&lt;="&amp;判定基準!$B$33,案件管理!$G$5:$G$104,"&lt;="&amp;判定基準!$B$34,案件管理!$D$5:$D$104,"&lt;&gt;"&amp;判定基準!$B$35)</f>
        <v/>
      </c>
      <c r="P7" s="37">
        <f>COUNTIFS(案件管理!$AD$5:$AD$104,"&gt;="&amp;DATE(2026,11,1),案件管理!$AD$5:$AD$104,"&lt;"&amp;DATE(2026,12,1),案件管理!$AE$5:$AE$104,$A7)</f>
        <v/>
      </c>
      <c r="Q7" s="37">
        <f>COUNTIFS(案件管理!$AD$5:$AD$104,"&gt;="&amp;DATE(2026,11,1),案件管理!$AD$5:$AD$104,"&lt;"&amp;DATE(2026,12,1),案件管理!$AE$5:$AE$104,$A7,案件管理!$F$5:$F$104,"&gt;="&amp;判定基準!$B$32,案件管理!$F$5:$F$104,"&lt;="&amp;判定基準!$B$33,案件管理!$G$5:$G$104,"&lt;="&amp;判定基準!$B$34,案件管理!$D$5:$D$104,"&lt;&gt;"&amp;判定基準!$B$35)</f>
        <v/>
      </c>
      <c r="R7" s="37">
        <f>COUNTIFS(案件管理!$AD$5:$AD$104,"&gt;="&amp;DATE(2026,12,1),案件管理!$AD$5:$AD$104,"&lt;"&amp;DATE(2027,1,1),案件管理!$AE$5:$AE$104,$A7)</f>
        <v/>
      </c>
      <c r="S7" s="37">
        <f>COUNTIFS(案件管理!$AD$5:$AD$104,"&gt;="&amp;DATE(2026,12,1),案件管理!$AD$5:$AD$104,"&lt;"&amp;DATE(2027,1,1),案件管理!$AE$5:$AE$104,$A7,案件管理!$F$5:$F$104,"&gt;="&amp;判定基準!$B$32,案件管理!$F$5:$F$104,"&lt;="&amp;判定基準!$B$33,案件管理!$G$5:$G$104,"&lt;="&amp;判定基準!$B$34,案件管理!$D$5:$D$104,"&lt;&gt;"&amp;判定基準!$B$35)</f>
        <v/>
      </c>
      <c r="T7" s="37">
        <f>COUNTIFS(案件管理!$AD$5:$AD$104,"&gt;="&amp;DATE(2027,1,1),案件管理!$AD$5:$AD$104,"&lt;"&amp;DATE(2027,2,1),案件管理!$AE$5:$AE$104,$A7)</f>
        <v/>
      </c>
      <c r="U7" s="37">
        <f>COUNTIFS(案件管理!$AD$5:$AD$104,"&gt;="&amp;DATE(2027,1,1),案件管理!$AD$5:$AD$104,"&lt;"&amp;DATE(2027,2,1),案件管理!$AE$5:$AE$104,$A7,案件管理!$F$5:$F$104,"&gt;="&amp;判定基準!$B$32,案件管理!$F$5:$F$104,"&lt;="&amp;判定基準!$B$33,案件管理!$G$5:$G$104,"&lt;="&amp;判定基準!$B$34,案件管理!$D$5:$D$104,"&lt;&gt;"&amp;判定基準!$B$35)</f>
        <v/>
      </c>
      <c r="V7" s="37">
        <f>COUNTIFS(案件管理!$AD$5:$AD$104,"&gt;="&amp;DATE(2027,2,1),案件管理!$AD$5:$AD$104,"&lt;"&amp;DATE(2027,3,1),案件管理!$AE$5:$AE$104,$A7)</f>
        <v/>
      </c>
      <c r="W7" s="37">
        <f>COUNTIFS(案件管理!$AD$5:$AD$104,"&gt;="&amp;DATE(2027,2,1),案件管理!$AD$5:$AD$104,"&lt;"&amp;DATE(2027,3,1),案件管理!$AE$5:$AE$104,$A7,案件管理!$F$5:$F$104,"&gt;="&amp;判定基準!$B$32,案件管理!$F$5:$F$104,"&lt;="&amp;判定基準!$B$33,案件管理!$G$5:$G$104,"&lt;="&amp;判定基準!$B$34,案件管理!$D$5:$D$104,"&lt;&gt;"&amp;判定基準!$B$35)</f>
        <v/>
      </c>
      <c r="X7" s="37">
        <f>COUNTIFS(案件管理!$AD$5:$AD$104,"&gt;="&amp;DATE(2027,3,1),案件管理!$AD$5:$AD$104,"&lt;"&amp;DATE(2027,4,1),案件管理!$AE$5:$AE$104,$A7)</f>
        <v/>
      </c>
      <c r="Y7" s="37">
        <f>COUNTIFS(案件管理!$AD$5:$AD$104,"&gt;="&amp;DATE(2027,3,1),案件管理!$AD$5:$AD$104,"&lt;"&amp;DATE(2027,4,1),案件管理!$AE$5:$AE$104,$A7,案件管理!$F$5:$F$104,"&gt;="&amp;判定基準!$B$32,案件管理!$F$5:$F$104,"&lt;="&amp;判定基準!$B$33,案件管理!$G$5:$G$104,"&lt;="&amp;判定基準!$B$34,案件管理!$D$5:$D$104,"&lt;&gt;"&amp;判定基準!$B$35)</f>
        <v/>
      </c>
      <c r="Z7" s="37">
        <f>COUNTIFS(案件管理!$AD$5:$AD$104,"&gt;="&amp;DATE(2027,4,1),案件管理!$AD$5:$AD$104,"&lt;"&amp;DATE(2027,5,1),案件管理!$AE$5:$AE$104,$A7)</f>
        <v/>
      </c>
      <c r="AA7" s="37">
        <f>COUNTIFS(案件管理!$AD$5:$AD$104,"&gt;="&amp;DATE(2027,4,1),案件管理!$AD$5:$AD$104,"&lt;"&amp;DATE(2027,5,1),案件管理!$AE$5:$AE$104,$A7,案件管理!$F$5:$F$104,"&gt;="&amp;判定基準!$B$32,案件管理!$F$5:$F$104,"&lt;="&amp;判定基準!$B$33,案件管理!$G$5:$G$104,"&lt;="&amp;判定基準!$B$34,案件管理!$D$5:$D$104,"&lt;&gt;"&amp;判定基準!$B$35)</f>
        <v/>
      </c>
      <c r="AB7" s="37">
        <f>COUNTIFS(案件管理!$AD$5:$AD$104,"&gt;="&amp;DATE(2027,5,1),案件管理!$AD$5:$AD$104,"&lt;"&amp;DATE(2027,6,1),案件管理!$AE$5:$AE$104,$A7)</f>
        <v/>
      </c>
      <c r="AC7" s="37">
        <f>COUNTIFS(案件管理!$AD$5:$AD$104,"&gt;="&amp;DATE(2027,5,1),案件管理!$AD$5:$AD$104,"&lt;"&amp;DATE(2027,6,1),案件管理!$AE$5:$AE$104,$A7,案件管理!$F$5:$F$104,"&gt;="&amp;判定基準!$B$32,案件管理!$F$5:$F$104,"&lt;="&amp;判定基準!$B$33,案件管理!$G$5:$G$104,"&lt;="&amp;判定基準!$B$34,案件管理!$D$5:$D$104,"&lt;&gt;"&amp;判定基準!$B$35)</f>
        <v/>
      </c>
      <c r="AD7" s="37">
        <f>COUNTIFS(案件管理!$AD$5:$AD$104,"&gt;="&amp;DATE(2027,6,1),案件管理!$AD$5:$AD$104,"&lt;"&amp;DATE(2027,7,1),案件管理!$AE$5:$AE$104,$A7)</f>
        <v/>
      </c>
      <c r="AE7" s="37">
        <f>COUNTIFS(案件管理!$AD$5:$AD$104,"&gt;="&amp;DATE(2027,6,1),案件管理!$AD$5:$AD$104,"&lt;"&amp;DATE(2027,7,1),案件管理!$AE$5:$AE$104,$A7,案件管理!$F$5:$F$104,"&gt;="&amp;判定基準!$B$32,案件管理!$F$5:$F$104,"&lt;="&amp;判定基準!$B$33,案件管理!$G$5:$G$104,"&lt;="&amp;判定基準!$B$34,案件管理!$D$5:$D$104,"&lt;&gt;"&amp;判定基準!$B$35)</f>
        <v/>
      </c>
      <c r="AF7" s="37">
        <f>COUNTIFS(案件管理!$AD$5:$AD$104,"&gt;="&amp;DATE(2027,7,1),案件管理!$AD$5:$AD$104,"&lt;"&amp;DATE(2027,8,1),案件管理!$AE$5:$AE$104,$A7)</f>
        <v/>
      </c>
      <c r="AG7" s="37">
        <f>COUNTIFS(案件管理!$AD$5:$AD$104,"&gt;="&amp;DATE(2027,7,1),案件管理!$AD$5:$AD$104,"&lt;"&amp;DATE(2027,8,1),案件管理!$AE$5:$AE$104,$A7,案件管理!$F$5:$F$104,"&gt;="&amp;判定基準!$B$32,案件管理!$F$5:$F$104,"&lt;="&amp;判定基準!$B$33,案件管理!$G$5:$G$104,"&lt;="&amp;判定基準!$B$34,案件管理!$D$5:$D$104,"&lt;&gt;"&amp;判定基準!$B$35)</f>
        <v/>
      </c>
      <c r="AH7" s="37">
        <f>COUNTIFS(案件管理!$AD$5:$AD$104,"&gt;="&amp;DATE(2027,8,1),案件管理!$AD$5:$AD$104,"&lt;"&amp;DATE(2027,9,1),案件管理!$AE$5:$AE$104,$A7)</f>
        <v/>
      </c>
      <c r="AI7" s="37">
        <f>COUNTIFS(案件管理!$AD$5:$AD$104,"&gt;="&amp;DATE(2027,8,1),案件管理!$AD$5:$AD$104,"&lt;"&amp;DATE(2027,9,1),案件管理!$AE$5:$AE$104,$A7,案件管理!$F$5:$F$104,"&gt;="&amp;判定基準!$B$32,案件管理!$F$5:$F$104,"&lt;="&amp;判定基準!$B$33,案件管理!$G$5:$G$104,"&lt;="&amp;判定基準!$B$34,案件管理!$D$5:$D$104,"&lt;&gt;"&amp;判定基準!$B$35)</f>
        <v/>
      </c>
      <c r="AJ7" s="37">
        <f>L7+N7+P7+R7+T7+V7+X7+Z7+AB7+AD7+AF7+AH7</f>
        <v/>
      </c>
      <c r="AK7" s="37">
        <f>M7+O7+Q7+S7+U7+W7+Y7+AA7+AC7+AE7+AG7+AI7</f>
        <v/>
      </c>
      <c r="AL7" s="38">
        <f>IF(AJ7=0,"",AK7/AJ7)</f>
        <v/>
      </c>
    </row>
    <row r="8">
      <c r="A8" s="23" t="inlineStr">
        <is>
          <t>インクグロウ株式会社</t>
        </is>
      </c>
      <c r="B8" s="17" t="n"/>
      <c r="C8" s="23" t="inlineStr">
        <is>
          <t>B</t>
        </is>
      </c>
      <c r="D8" s="23" t="inlineStr">
        <is>
          <t>足立</t>
        </is>
      </c>
      <c r="E8" s="22" t="n">
        <v>46272</v>
      </c>
      <c r="F8" s="23" t="inlineStr">
        <is>
          <t>9/18(押印）</t>
        </is>
      </c>
      <c r="G8" s="20" t="n"/>
      <c r="H8" s="23" t="n"/>
      <c r="I8" s="23" t="n"/>
      <c r="J8" s="23" t="n"/>
      <c r="K8" s="23" t="n"/>
      <c r="L8" s="37">
        <f>COUNTIFS(案件管理!$AD$5:$AD$104,"&gt;="&amp;DATE(2026,9,1),案件管理!$AD$5:$AD$104,"&lt;"&amp;DATE(2026,10,1),案件管理!$AE$5:$AE$104,$A8)</f>
        <v/>
      </c>
      <c r="M8" s="37">
        <f>COUNTIFS(案件管理!$AD$5:$AD$104,"&gt;="&amp;DATE(2026,9,1),案件管理!$AD$5:$AD$104,"&lt;"&amp;DATE(2026,10,1),案件管理!$AE$5:$AE$104,$A8,案件管理!$F$5:$F$104,"&gt;="&amp;判定基準!$B$32,案件管理!$F$5:$F$104,"&lt;="&amp;判定基準!$B$33,案件管理!$G$5:$G$104,"&lt;="&amp;判定基準!$B$34,案件管理!$D$5:$D$104,"&lt;&gt;"&amp;判定基準!$B$35)</f>
        <v/>
      </c>
      <c r="N8" s="37">
        <f>COUNTIFS(案件管理!$AD$5:$AD$104,"&gt;="&amp;DATE(2026,10,1),案件管理!$AD$5:$AD$104,"&lt;"&amp;DATE(2026,11,1),案件管理!$AE$5:$AE$104,$A8)</f>
        <v/>
      </c>
      <c r="O8" s="37">
        <f>COUNTIFS(案件管理!$AD$5:$AD$104,"&gt;="&amp;DATE(2026,10,1),案件管理!$AD$5:$AD$104,"&lt;"&amp;DATE(2026,11,1),案件管理!$AE$5:$AE$104,$A8,案件管理!$F$5:$F$104,"&gt;="&amp;判定基準!$B$32,案件管理!$F$5:$F$104,"&lt;="&amp;判定基準!$B$33,案件管理!$G$5:$G$104,"&lt;="&amp;判定基準!$B$34,案件管理!$D$5:$D$104,"&lt;&gt;"&amp;判定基準!$B$35)</f>
        <v/>
      </c>
      <c r="P8" s="37">
        <f>COUNTIFS(案件管理!$AD$5:$AD$104,"&gt;="&amp;DATE(2026,11,1),案件管理!$AD$5:$AD$104,"&lt;"&amp;DATE(2026,12,1),案件管理!$AE$5:$AE$104,$A8)</f>
        <v/>
      </c>
      <c r="Q8" s="37">
        <f>COUNTIFS(案件管理!$AD$5:$AD$104,"&gt;="&amp;DATE(2026,11,1),案件管理!$AD$5:$AD$104,"&lt;"&amp;DATE(2026,12,1),案件管理!$AE$5:$AE$104,$A8,案件管理!$F$5:$F$104,"&gt;="&amp;判定基準!$B$32,案件管理!$F$5:$F$104,"&lt;="&amp;判定基準!$B$33,案件管理!$G$5:$G$104,"&lt;="&amp;判定基準!$B$34,案件管理!$D$5:$D$104,"&lt;&gt;"&amp;判定基準!$B$35)</f>
        <v/>
      </c>
      <c r="R8" s="37">
        <f>COUNTIFS(案件管理!$AD$5:$AD$104,"&gt;="&amp;DATE(2026,12,1),案件管理!$AD$5:$AD$104,"&lt;"&amp;DATE(2027,1,1),案件管理!$AE$5:$AE$104,$A8)</f>
        <v/>
      </c>
      <c r="S8" s="37">
        <f>COUNTIFS(案件管理!$AD$5:$AD$104,"&gt;="&amp;DATE(2026,12,1),案件管理!$AD$5:$AD$104,"&lt;"&amp;DATE(2027,1,1),案件管理!$AE$5:$AE$104,$A8,案件管理!$F$5:$F$104,"&gt;="&amp;判定基準!$B$32,案件管理!$F$5:$F$104,"&lt;="&amp;判定基準!$B$33,案件管理!$G$5:$G$104,"&lt;="&amp;判定基準!$B$34,案件管理!$D$5:$D$104,"&lt;&gt;"&amp;判定基準!$B$35)</f>
        <v/>
      </c>
      <c r="T8" s="37">
        <f>COUNTIFS(案件管理!$AD$5:$AD$104,"&gt;="&amp;DATE(2027,1,1),案件管理!$AD$5:$AD$104,"&lt;"&amp;DATE(2027,2,1),案件管理!$AE$5:$AE$104,$A8)</f>
        <v/>
      </c>
      <c r="U8" s="37">
        <f>COUNTIFS(案件管理!$AD$5:$AD$104,"&gt;="&amp;DATE(2027,1,1),案件管理!$AD$5:$AD$104,"&lt;"&amp;DATE(2027,2,1),案件管理!$AE$5:$AE$104,$A8,案件管理!$F$5:$F$104,"&gt;="&amp;判定基準!$B$32,案件管理!$F$5:$F$104,"&lt;="&amp;判定基準!$B$33,案件管理!$G$5:$G$104,"&lt;="&amp;判定基準!$B$34,案件管理!$D$5:$D$104,"&lt;&gt;"&amp;判定基準!$B$35)</f>
        <v/>
      </c>
      <c r="V8" s="37">
        <f>COUNTIFS(案件管理!$AD$5:$AD$104,"&gt;="&amp;DATE(2027,2,1),案件管理!$AD$5:$AD$104,"&lt;"&amp;DATE(2027,3,1),案件管理!$AE$5:$AE$104,$A8)</f>
        <v/>
      </c>
      <c r="W8" s="37">
        <f>COUNTIFS(案件管理!$AD$5:$AD$104,"&gt;="&amp;DATE(2027,2,1),案件管理!$AD$5:$AD$104,"&lt;"&amp;DATE(2027,3,1),案件管理!$AE$5:$AE$104,$A8,案件管理!$F$5:$F$104,"&gt;="&amp;判定基準!$B$32,案件管理!$F$5:$F$104,"&lt;="&amp;判定基準!$B$33,案件管理!$G$5:$G$104,"&lt;="&amp;判定基準!$B$34,案件管理!$D$5:$D$104,"&lt;&gt;"&amp;判定基準!$B$35)</f>
        <v/>
      </c>
      <c r="X8" s="37">
        <f>COUNTIFS(案件管理!$AD$5:$AD$104,"&gt;="&amp;DATE(2027,3,1),案件管理!$AD$5:$AD$104,"&lt;"&amp;DATE(2027,4,1),案件管理!$AE$5:$AE$104,$A8)</f>
        <v/>
      </c>
      <c r="Y8" s="37">
        <f>COUNTIFS(案件管理!$AD$5:$AD$104,"&gt;="&amp;DATE(2027,3,1),案件管理!$AD$5:$AD$104,"&lt;"&amp;DATE(2027,4,1),案件管理!$AE$5:$AE$104,$A8,案件管理!$F$5:$F$104,"&gt;="&amp;判定基準!$B$32,案件管理!$F$5:$F$104,"&lt;="&amp;判定基準!$B$33,案件管理!$G$5:$G$104,"&lt;="&amp;判定基準!$B$34,案件管理!$D$5:$D$104,"&lt;&gt;"&amp;判定基準!$B$35)</f>
        <v/>
      </c>
      <c r="Z8" s="37">
        <f>COUNTIFS(案件管理!$AD$5:$AD$104,"&gt;="&amp;DATE(2027,4,1),案件管理!$AD$5:$AD$104,"&lt;"&amp;DATE(2027,5,1),案件管理!$AE$5:$AE$104,$A8)</f>
        <v/>
      </c>
      <c r="AA8" s="37">
        <f>COUNTIFS(案件管理!$AD$5:$AD$104,"&gt;="&amp;DATE(2027,4,1),案件管理!$AD$5:$AD$104,"&lt;"&amp;DATE(2027,5,1),案件管理!$AE$5:$AE$104,$A8,案件管理!$F$5:$F$104,"&gt;="&amp;判定基準!$B$32,案件管理!$F$5:$F$104,"&lt;="&amp;判定基準!$B$33,案件管理!$G$5:$G$104,"&lt;="&amp;判定基準!$B$34,案件管理!$D$5:$D$104,"&lt;&gt;"&amp;判定基準!$B$35)</f>
        <v/>
      </c>
      <c r="AB8" s="37">
        <f>COUNTIFS(案件管理!$AD$5:$AD$104,"&gt;="&amp;DATE(2027,5,1),案件管理!$AD$5:$AD$104,"&lt;"&amp;DATE(2027,6,1),案件管理!$AE$5:$AE$104,$A8)</f>
        <v/>
      </c>
      <c r="AC8" s="37">
        <f>COUNTIFS(案件管理!$AD$5:$AD$104,"&gt;="&amp;DATE(2027,5,1),案件管理!$AD$5:$AD$104,"&lt;"&amp;DATE(2027,6,1),案件管理!$AE$5:$AE$104,$A8,案件管理!$F$5:$F$104,"&gt;="&amp;判定基準!$B$32,案件管理!$F$5:$F$104,"&lt;="&amp;判定基準!$B$33,案件管理!$G$5:$G$104,"&lt;="&amp;判定基準!$B$34,案件管理!$D$5:$D$104,"&lt;&gt;"&amp;判定基準!$B$35)</f>
        <v/>
      </c>
      <c r="AD8" s="37">
        <f>COUNTIFS(案件管理!$AD$5:$AD$104,"&gt;="&amp;DATE(2027,6,1),案件管理!$AD$5:$AD$104,"&lt;"&amp;DATE(2027,7,1),案件管理!$AE$5:$AE$104,$A8)</f>
        <v/>
      </c>
      <c r="AE8" s="37">
        <f>COUNTIFS(案件管理!$AD$5:$AD$104,"&gt;="&amp;DATE(2027,6,1),案件管理!$AD$5:$AD$104,"&lt;"&amp;DATE(2027,7,1),案件管理!$AE$5:$AE$104,$A8,案件管理!$F$5:$F$104,"&gt;="&amp;判定基準!$B$32,案件管理!$F$5:$F$104,"&lt;="&amp;判定基準!$B$33,案件管理!$G$5:$G$104,"&lt;="&amp;判定基準!$B$34,案件管理!$D$5:$D$104,"&lt;&gt;"&amp;判定基準!$B$35)</f>
        <v/>
      </c>
      <c r="AF8" s="37">
        <f>COUNTIFS(案件管理!$AD$5:$AD$104,"&gt;="&amp;DATE(2027,7,1),案件管理!$AD$5:$AD$104,"&lt;"&amp;DATE(2027,8,1),案件管理!$AE$5:$AE$104,$A8)</f>
        <v/>
      </c>
      <c r="AG8" s="37">
        <f>COUNTIFS(案件管理!$AD$5:$AD$104,"&gt;="&amp;DATE(2027,7,1),案件管理!$AD$5:$AD$104,"&lt;"&amp;DATE(2027,8,1),案件管理!$AE$5:$AE$104,$A8,案件管理!$F$5:$F$104,"&gt;="&amp;判定基準!$B$32,案件管理!$F$5:$F$104,"&lt;="&amp;判定基準!$B$33,案件管理!$G$5:$G$104,"&lt;="&amp;判定基準!$B$34,案件管理!$D$5:$D$104,"&lt;&gt;"&amp;判定基準!$B$35)</f>
        <v/>
      </c>
      <c r="AH8" s="37">
        <f>COUNTIFS(案件管理!$AD$5:$AD$104,"&gt;="&amp;DATE(2027,8,1),案件管理!$AD$5:$AD$104,"&lt;"&amp;DATE(2027,9,1),案件管理!$AE$5:$AE$104,$A8)</f>
        <v/>
      </c>
      <c r="AI8" s="37">
        <f>COUNTIFS(案件管理!$AD$5:$AD$104,"&gt;="&amp;DATE(2027,8,1),案件管理!$AD$5:$AD$104,"&lt;"&amp;DATE(2027,9,1),案件管理!$AE$5:$AE$104,$A8,案件管理!$F$5:$F$104,"&gt;="&amp;判定基準!$B$32,案件管理!$F$5:$F$104,"&lt;="&amp;判定基準!$B$33,案件管理!$G$5:$G$104,"&lt;="&amp;判定基準!$B$34,案件管理!$D$5:$D$104,"&lt;&gt;"&amp;判定基準!$B$35)</f>
        <v/>
      </c>
      <c r="AJ8" s="37">
        <f>L8+N8+P8+R8+T8+V8+X8+Z8+AB8+AD8+AF8+AH8</f>
        <v/>
      </c>
      <c r="AK8" s="37">
        <f>M8+O8+Q8+S8+U8+W8+Y8+AA8+AC8+AE8+AG8+AI8</f>
        <v/>
      </c>
      <c r="AL8" s="38">
        <f>IF(AJ8=0,"",AK8/AJ8)</f>
        <v/>
      </c>
    </row>
    <row r="9">
      <c r="A9" s="23" t="inlineStr">
        <is>
          <t>シェアモル株式会社</t>
        </is>
      </c>
      <c r="B9" s="17" t="n"/>
      <c r="C9" s="23" t="inlineStr">
        <is>
          <t>B</t>
        </is>
      </c>
      <c r="D9" s="23" t="inlineStr">
        <is>
          <t>廣山</t>
        </is>
      </c>
      <c r="E9" s="22" t="n">
        <v>46265</v>
      </c>
      <c r="F9" s="22" t="n">
        <v>46293</v>
      </c>
      <c r="G9" s="20" t="n"/>
      <c r="H9" s="23" t="n"/>
      <c r="I9" s="23" t="n"/>
      <c r="J9" s="23" t="n"/>
      <c r="K9" s="23" t="n"/>
      <c r="L9" s="37">
        <f>COUNTIFS(案件管理!$AD$5:$AD$104,"&gt;="&amp;DATE(2026,9,1),案件管理!$AD$5:$AD$104,"&lt;"&amp;DATE(2026,10,1),案件管理!$AE$5:$AE$104,$A9)</f>
        <v/>
      </c>
      <c r="M9" s="37">
        <f>COUNTIFS(案件管理!$AD$5:$AD$104,"&gt;="&amp;DATE(2026,9,1),案件管理!$AD$5:$AD$104,"&lt;"&amp;DATE(2026,10,1),案件管理!$AE$5:$AE$104,$A9,案件管理!$F$5:$F$104,"&gt;="&amp;判定基準!$B$32,案件管理!$F$5:$F$104,"&lt;="&amp;判定基準!$B$33,案件管理!$G$5:$G$104,"&lt;="&amp;判定基準!$B$34,案件管理!$D$5:$D$104,"&lt;&gt;"&amp;判定基準!$B$35)</f>
        <v/>
      </c>
      <c r="N9" s="37">
        <f>COUNTIFS(案件管理!$AD$5:$AD$104,"&gt;="&amp;DATE(2026,10,1),案件管理!$AD$5:$AD$104,"&lt;"&amp;DATE(2026,11,1),案件管理!$AE$5:$AE$104,$A9)</f>
        <v/>
      </c>
      <c r="O9" s="37">
        <f>COUNTIFS(案件管理!$AD$5:$AD$104,"&gt;="&amp;DATE(2026,10,1),案件管理!$AD$5:$AD$104,"&lt;"&amp;DATE(2026,11,1),案件管理!$AE$5:$AE$104,$A9,案件管理!$F$5:$F$104,"&gt;="&amp;判定基準!$B$32,案件管理!$F$5:$F$104,"&lt;="&amp;判定基準!$B$33,案件管理!$G$5:$G$104,"&lt;="&amp;判定基準!$B$34,案件管理!$D$5:$D$104,"&lt;&gt;"&amp;判定基準!$B$35)</f>
        <v/>
      </c>
      <c r="P9" s="37">
        <f>COUNTIFS(案件管理!$AD$5:$AD$104,"&gt;="&amp;DATE(2026,11,1),案件管理!$AD$5:$AD$104,"&lt;"&amp;DATE(2026,12,1),案件管理!$AE$5:$AE$104,$A9)</f>
        <v/>
      </c>
      <c r="Q9" s="37">
        <f>COUNTIFS(案件管理!$AD$5:$AD$104,"&gt;="&amp;DATE(2026,11,1),案件管理!$AD$5:$AD$104,"&lt;"&amp;DATE(2026,12,1),案件管理!$AE$5:$AE$104,$A9,案件管理!$F$5:$F$104,"&gt;="&amp;判定基準!$B$32,案件管理!$F$5:$F$104,"&lt;="&amp;判定基準!$B$33,案件管理!$G$5:$G$104,"&lt;="&amp;判定基準!$B$34,案件管理!$D$5:$D$104,"&lt;&gt;"&amp;判定基準!$B$35)</f>
        <v/>
      </c>
      <c r="R9" s="37">
        <f>COUNTIFS(案件管理!$AD$5:$AD$104,"&gt;="&amp;DATE(2026,12,1),案件管理!$AD$5:$AD$104,"&lt;"&amp;DATE(2027,1,1),案件管理!$AE$5:$AE$104,$A9)</f>
        <v/>
      </c>
      <c r="S9" s="37">
        <f>COUNTIFS(案件管理!$AD$5:$AD$104,"&gt;="&amp;DATE(2026,12,1),案件管理!$AD$5:$AD$104,"&lt;"&amp;DATE(2027,1,1),案件管理!$AE$5:$AE$104,$A9,案件管理!$F$5:$F$104,"&gt;="&amp;判定基準!$B$32,案件管理!$F$5:$F$104,"&lt;="&amp;判定基準!$B$33,案件管理!$G$5:$G$104,"&lt;="&amp;判定基準!$B$34,案件管理!$D$5:$D$104,"&lt;&gt;"&amp;判定基準!$B$35)</f>
        <v/>
      </c>
      <c r="T9" s="37">
        <f>COUNTIFS(案件管理!$AD$5:$AD$104,"&gt;="&amp;DATE(2027,1,1),案件管理!$AD$5:$AD$104,"&lt;"&amp;DATE(2027,2,1),案件管理!$AE$5:$AE$104,$A9)</f>
        <v/>
      </c>
      <c r="U9" s="37">
        <f>COUNTIFS(案件管理!$AD$5:$AD$104,"&gt;="&amp;DATE(2027,1,1),案件管理!$AD$5:$AD$104,"&lt;"&amp;DATE(2027,2,1),案件管理!$AE$5:$AE$104,$A9,案件管理!$F$5:$F$104,"&gt;="&amp;判定基準!$B$32,案件管理!$F$5:$F$104,"&lt;="&amp;判定基準!$B$33,案件管理!$G$5:$G$104,"&lt;="&amp;判定基準!$B$34,案件管理!$D$5:$D$104,"&lt;&gt;"&amp;判定基準!$B$35)</f>
        <v/>
      </c>
      <c r="V9" s="37">
        <f>COUNTIFS(案件管理!$AD$5:$AD$104,"&gt;="&amp;DATE(2027,2,1),案件管理!$AD$5:$AD$104,"&lt;"&amp;DATE(2027,3,1),案件管理!$AE$5:$AE$104,$A9)</f>
        <v/>
      </c>
      <c r="W9" s="37">
        <f>COUNTIFS(案件管理!$AD$5:$AD$104,"&gt;="&amp;DATE(2027,2,1),案件管理!$AD$5:$AD$104,"&lt;"&amp;DATE(2027,3,1),案件管理!$AE$5:$AE$104,$A9,案件管理!$F$5:$F$104,"&gt;="&amp;判定基準!$B$32,案件管理!$F$5:$F$104,"&lt;="&amp;判定基準!$B$33,案件管理!$G$5:$G$104,"&lt;="&amp;判定基準!$B$34,案件管理!$D$5:$D$104,"&lt;&gt;"&amp;判定基準!$B$35)</f>
        <v/>
      </c>
      <c r="X9" s="37">
        <f>COUNTIFS(案件管理!$AD$5:$AD$104,"&gt;="&amp;DATE(2027,3,1),案件管理!$AD$5:$AD$104,"&lt;"&amp;DATE(2027,4,1),案件管理!$AE$5:$AE$104,$A9)</f>
        <v/>
      </c>
      <c r="Y9" s="37">
        <f>COUNTIFS(案件管理!$AD$5:$AD$104,"&gt;="&amp;DATE(2027,3,1),案件管理!$AD$5:$AD$104,"&lt;"&amp;DATE(2027,4,1),案件管理!$AE$5:$AE$104,$A9,案件管理!$F$5:$F$104,"&gt;="&amp;判定基準!$B$32,案件管理!$F$5:$F$104,"&lt;="&amp;判定基準!$B$33,案件管理!$G$5:$G$104,"&lt;="&amp;判定基準!$B$34,案件管理!$D$5:$D$104,"&lt;&gt;"&amp;判定基準!$B$35)</f>
        <v/>
      </c>
      <c r="Z9" s="37">
        <f>COUNTIFS(案件管理!$AD$5:$AD$104,"&gt;="&amp;DATE(2027,4,1),案件管理!$AD$5:$AD$104,"&lt;"&amp;DATE(2027,5,1),案件管理!$AE$5:$AE$104,$A9)</f>
        <v/>
      </c>
      <c r="AA9" s="37">
        <f>COUNTIFS(案件管理!$AD$5:$AD$104,"&gt;="&amp;DATE(2027,4,1),案件管理!$AD$5:$AD$104,"&lt;"&amp;DATE(2027,5,1),案件管理!$AE$5:$AE$104,$A9,案件管理!$F$5:$F$104,"&gt;="&amp;判定基準!$B$32,案件管理!$F$5:$F$104,"&lt;="&amp;判定基準!$B$33,案件管理!$G$5:$G$104,"&lt;="&amp;判定基準!$B$34,案件管理!$D$5:$D$104,"&lt;&gt;"&amp;判定基準!$B$35)</f>
        <v/>
      </c>
      <c r="AB9" s="37">
        <f>COUNTIFS(案件管理!$AD$5:$AD$104,"&gt;="&amp;DATE(2027,5,1),案件管理!$AD$5:$AD$104,"&lt;"&amp;DATE(2027,6,1),案件管理!$AE$5:$AE$104,$A9)</f>
        <v/>
      </c>
      <c r="AC9" s="37">
        <f>COUNTIFS(案件管理!$AD$5:$AD$104,"&gt;="&amp;DATE(2027,5,1),案件管理!$AD$5:$AD$104,"&lt;"&amp;DATE(2027,6,1),案件管理!$AE$5:$AE$104,$A9,案件管理!$F$5:$F$104,"&gt;="&amp;判定基準!$B$32,案件管理!$F$5:$F$104,"&lt;="&amp;判定基準!$B$33,案件管理!$G$5:$G$104,"&lt;="&amp;判定基準!$B$34,案件管理!$D$5:$D$104,"&lt;&gt;"&amp;判定基準!$B$35)</f>
        <v/>
      </c>
      <c r="AD9" s="37">
        <f>COUNTIFS(案件管理!$AD$5:$AD$104,"&gt;="&amp;DATE(2027,6,1),案件管理!$AD$5:$AD$104,"&lt;"&amp;DATE(2027,7,1),案件管理!$AE$5:$AE$104,$A9)</f>
        <v/>
      </c>
      <c r="AE9" s="37">
        <f>COUNTIFS(案件管理!$AD$5:$AD$104,"&gt;="&amp;DATE(2027,6,1),案件管理!$AD$5:$AD$104,"&lt;"&amp;DATE(2027,7,1),案件管理!$AE$5:$AE$104,$A9,案件管理!$F$5:$F$104,"&gt;="&amp;判定基準!$B$32,案件管理!$F$5:$F$104,"&lt;="&amp;判定基準!$B$33,案件管理!$G$5:$G$104,"&lt;="&amp;判定基準!$B$34,案件管理!$D$5:$D$104,"&lt;&gt;"&amp;判定基準!$B$35)</f>
        <v/>
      </c>
      <c r="AF9" s="37">
        <f>COUNTIFS(案件管理!$AD$5:$AD$104,"&gt;="&amp;DATE(2027,7,1),案件管理!$AD$5:$AD$104,"&lt;"&amp;DATE(2027,8,1),案件管理!$AE$5:$AE$104,$A9)</f>
        <v/>
      </c>
      <c r="AG9" s="37">
        <f>COUNTIFS(案件管理!$AD$5:$AD$104,"&gt;="&amp;DATE(2027,7,1),案件管理!$AD$5:$AD$104,"&lt;"&amp;DATE(2027,8,1),案件管理!$AE$5:$AE$104,$A9,案件管理!$F$5:$F$104,"&gt;="&amp;判定基準!$B$32,案件管理!$F$5:$F$104,"&lt;="&amp;判定基準!$B$33,案件管理!$G$5:$G$104,"&lt;="&amp;判定基準!$B$34,案件管理!$D$5:$D$104,"&lt;&gt;"&amp;判定基準!$B$35)</f>
        <v/>
      </c>
      <c r="AH9" s="37">
        <f>COUNTIFS(案件管理!$AD$5:$AD$104,"&gt;="&amp;DATE(2027,8,1),案件管理!$AD$5:$AD$104,"&lt;"&amp;DATE(2027,9,1),案件管理!$AE$5:$AE$104,$A9)</f>
        <v/>
      </c>
      <c r="AI9" s="37">
        <f>COUNTIFS(案件管理!$AD$5:$AD$104,"&gt;="&amp;DATE(2027,8,1),案件管理!$AD$5:$AD$104,"&lt;"&amp;DATE(2027,9,1),案件管理!$AE$5:$AE$104,$A9,案件管理!$F$5:$F$104,"&gt;="&amp;判定基準!$B$32,案件管理!$F$5:$F$104,"&lt;="&amp;判定基準!$B$33,案件管理!$G$5:$G$104,"&lt;="&amp;判定基準!$B$34,案件管理!$D$5:$D$104,"&lt;&gt;"&amp;判定基準!$B$35)</f>
        <v/>
      </c>
      <c r="AJ9" s="37">
        <f>L9+N9+P9+R9+T9+V9+X9+Z9+AB9+AD9+AF9+AH9</f>
        <v/>
      </c>
      <c r="AK9" s="37">
        <f>M9+O9+Q9+S9+U9+W9+Y9+AA9+AC9+AE9+AG9+AI9</f>
        <v/>
      </c>
      <c r="AL9" s="38">
        <f>IF(AJ9=0,"",AK9/AJ9)</f>
        <v/>
      </c>
    </row>
    <row r="10">
      <c r="A10" s="23" t="inlineStr">
        <is>
          <t>ゴエンキャピタル株式会社</t>
        </is>
      </c>
      <c r="B10" s="17" t="n"/>
      <c r="C10" s="23" t="inlineStr">
        <is>
          <t>C</t>
        </is>
      </c>
      <c r="D10" s="23" t="inlineStr">
        <is>
          <t>石田</t>
        </is>
      </c>
      <c r="E10" s="22" t="n">
        <v>46265</v>
      </c>
      <c r="F10" s="22" t="n">
        <v>46279</v>
      </c>
      <c r="G10" s="20" t="n"/>
      <c r="H10" s="23" t="n"/>
      <c r="I10" s="23" t="n"/>
      <c r="J10" s="23" t="n"/>
      <c r="K10" s="23" t="n"/>
      <c r="L10" s="37">
        <f>COUNTIFS(案件管理!$AD$5:$AD$104,"&gt;="&amp;DATE(2026,9,1),案件管理!$AD$5:$AD$104,"&lt;"&amp;DATE(2026,10,1),案件管理!$AE$5:$AE$104,$A10)</f>
        <v/>
      </c>
      <c r="M10" s="37">
        <f>COUNTIFS(案件管理!$AD$5:$AD$104,"&gt;="&amp;DATE(2026,9,1),案件管理!$AD$5:$AD$104,"&lt;"&amp;DATE(2026,10,1),案件管理!$AE$5:$AE$104,$A10,案件管理!$F$5:$F$104,"&gt;="&amp;判定基準!$B$32,案件管理!$F$5:$F$104,"&lt;="&amp;判定基準!$B$33,案件管理!$G$5:$G$104,"&lt;="&amp;判定基準!$B$34,案件管理!$D$5:$D$104,"&lt;&gt;"&amp;判定基準!$B$35)</f>
        <v/>
      </c>
      <c r="N10" s="37">
        <f>COUNTIFS(案件管理!$AD$5:$AD$104,"&gt;="&amp;DATE(2026,10,1),案件管理!$AD$5:$AD$104,"&lt;"&amp;DATE(2026,11,1),案件管理!$AE$5:$AE$104,$A10)</f>
        <v/>
      </c>
      <c r="O10" s="37">
        <f>COUNTIFS(案件管理!$AD$5:$AD$104,"&gt;="&amp;DATE(2026,10,1),案件管理!$AD$5:$AD$104,"&lt;"&amp;DATE(2026,11,1),案件管理!$AE$5:$AE$104,$A10,案件管理!$F$5:$F$104,"&gt;="&amp;判定基準!$B$32,案件管理!$F$5:$F$104,"&lt;="&amp;判定基準!$B$33,案件管理!$G$5:$G$104,"&lt;="&amp;判定基準!$B$34,案件管理!$D$5:$D$104,"&lt;&gt;"&amp;判定基準!$B$35)</f>
        <v/>
      </c>
      <c r="P10" s="37">
        <f>COUNTIFS(案件管理!$AD$5:$AD$104,"&gt;="&amp;DATE(2026,11,1),案件管理!$AD$5:$AD$104,"&lt;"&amp;DATE(2026,12,1),案件管理!$AE$5:$AE$104,$A10)</f>
        <v/>
      </c>
      <c r="Q10" s="37">
        <f>COUNTIFS(案件管理!$AD$5:$AD$104,"&gt;="&amp;DATE(2026,11,1),案件管理!$AD$5:$AD$104,"&lt;"&amp;DATE(2026,12,1),案件管理!$AE$5:$AE$104,$A10,案件管理!$F$5:$F$104,"&gt;="&amp;判定基準!$B$32,案件管理!$F$5:$F$104,"&lt;="&amp;判定基準!$B$33,案件管理!$G$5:$G$104,"&lt;="&amp;判定基準!$B$34,案件管理!$D$5:$D$104,"&lt;&gt;"&amp;判定基準!$B$35)</f>
        <v/>
      </c>
      <c r="R10" s="37">
        <f>COUNTIFS(案件管理!$AD$5:$AD$104,"&gt;="&amp;DATE(2026,12,1),案件管理!$AD$5:$AD$104,"&lt;"&amp;DATE(2027,1,1),案件管理!$AE$5:$AE$104,$A10)</f>
        <v/>
      </c>
      <c r="S10" s="37">
        <f>COUNTIFS(案件管理!$AD$5:$AD$104,"&gt;="&amp;DATE(2026,12,1),案件管理!$AD$5:$AD$104,"&lt;"&amp;DATE(2027,1,1),案件管理!$AE$5:$AE$104,$A10,案件管理!$F$5:$F$104,"&gt;="&amp;判定基準!$B$32,案件管理!$F$5:$F$104,"&lt;="&amp;判定基準!$B$33,案件管理!$G$5:$G$104,"&lt;="&amp;判定基準!$B$34,案件管理!$D$5:$D$104,"&lt;&gt;"&amp;判定基準!$B$35)</f>
        <v/>
      </c>
      <c r="T10" s="37">
        <f>COUNTIFS(案件管理!$AD$5:$AD$104,"&gt;="&amp;DATE(2027,1,1),案件管理!$AD$5:$AD$104,"&lt;"&amp;DATE(2027,2,1),案件管理!$AE$5:$AE$104,$A10)</f>
        <v/>
      </c>
      <c r="U10" s="37">
        <f>COUNTIFS(案件管理!$AD$5:$AD$104,"&gt;="&amp;DATE(2027,1,1),案件管理!$AD$5:$AD$104,"&lt;"&amp;DATE(2027,2,1),案件管理!$AE$5:$AE$104,$A10,案件管理!$F$5:$F$104,"&gt;="&amp;判定基準!$B$32,案件管理!$F$5:$F$104,"&lt;="&amp;判定基準!$B$33,案件管理!$G$5:$G$104,"&lt;="&amp;判定基準!$B$34,案件管理!$D$5:$D$104,"&lt;&gt;"&amp;判定基準!$B$35)</f>
        <v/>
      </c>
      <c r="V10" s="37">
        <f>COUNTIFS(案件管理!$AD$5:$AD$104,"&gt;="&amp;DATE(2027,2,1),案件管理!$AD$5:$AD$104,"&lt;"&amp;DATE(2027,3,1),案件管理!$AE$5:$AE$104,$A10)</f>
        <v/>
      </c>
      <c r="W10" s="37">
        <f>COUNTIFS(案件管理!$AD$5:$AD$104,"&gt;="&amp;DATE(2027,2,1),案件管理!$AD$5:$AD$104,"&lt;"&amp;DATE(2027,3,1),案件管理!$AE$5:$AE$104,$A10,案件管理!$F$5:$F$104,"&gt;="&amp;判定基準!$B$32,案件管理!$F$5:$F$104,"&lt;="&amp;判定基準!$B$33,案件管理!$G$5:$G$104,"&lt;="&amp;判定基準!$B$34,案件管理!$D$5:$D$104,"&lt;&gt;"&amp;判定基準!$B$35)</f>
        <v/>
      </c>
      <c r="X10" s="37">
        <f>COUNTIFS(案件管理!$AD$5:$AD$104,"&gt;="&amp;DATE(2027,3,1),案件管理!$AD$5:$AD$104,"&lt;"&amp;DATE(2027,4,1),案件管理!$AE$5:$AE$104,$A10)</f>
        <v/>
      </c>
      <c r="Y10" s="37">
        <f>COUNTIFS(案件管理!$AD$5:$AD$104,"&gt;="&amp;DATE(2027,3,1),案件管理!$AD$5:$AD$104,"&lt;"&amp;DATE(2027,4,1),案件管理!$AE$5:$AE$104,$A10,案件管理!$F$5:$F$104,"&gt;="&amp;判定基準!$B$32,案件管理!$F$5:$F$104,"&lt;="&amp;判定基準!$B$33,案件管理!$G$5:$G$104,"&lt;="&amp;判定基準!$B$34,案件管理!$D$5:$D$104,"&lt;&gt;"&amp;判定基準!$B$35)</f>
        <v/>
      </c>
      <c r="Z10" s="37">
        <f>COUNTIFS(案件管理!$AD$5:$AD$104,"&gt;="&amp;DATE(2027,4,1),案件管理!$AD$5:$AD$104,"&lt;"&amp;DATE(2027,5,1),案件管理!$AE$5:$AE$104,$A10)</f>
        <v/>
      </c>
      <c r="AA10" s="37">
        <f>COUNTIFS(案件管理!$AD$5:$AD$104,"&gt;="&amp;DATE(2027,4,1),案件管理!$AD$5:$AD$104,"&lt;"&amp;DATE(2027,5,1),案件管理!$AE$5:$AE$104,$A10,案件管理!$F$5:$F$104,"&gt;="&amp;判定基準!$B$32,案件管理!$F$5:$F$104,"&lt;="&amp;判定基準!$B$33,案件管理!$G$5:$G$104,"&lt;="&amp;判定基準!$B$34,案件管理!$D$5:$D$104,"&lt;&gt;"&amp;判定基準!$B$35)</f>
        <v/>
      </c>
      <c r="AB10" s="37">
        <f>COUNTIFS(案件管理!$AD$5:$AD$104,"&gt;="&amp;DATE(2027,5,1),案件管理!$AD$5:$AD$104,"&lt;"&amp;DATE(2027,6,1),案件管理!$AE$5:$AE$104,$A10)</f>
        <v/>
      </c>
      <c r="AC10" s="37">
        <f>COUNTIFS(案件管理!$AD$5:$AD$104,"&gt;="&amp;DATE(2027,5,1),案件管理!$AD$5:$AD$104,"&lt;"&amp;DATE(2027,6,1),案件管理!$AE$5:$AE$104,$A10,案件管理!$F$5:$F$104,"&gt;="&amp;判定基準!$B$32,案件管理!$F$5:$F$104,"&lt;="&amp;判定基準!$B$33,案件管理!$G$5:$G$104,"&lt;="&amp;判定基準!$B$34,案件管理!$D$5:$D$104,"&lt;&gt;"&amp;判定基準!$B$35)</f>
        <v/>
      </c>
      <c r="AD10" s="37">
        <f>COUNTIFS(案件管理!$AD$5:$AD$104,"&gt;="&amp;DATE(2027,6,1),案件管理!$AD$5:$AD$104,"&lt;"&amp;DATE(2027,7,1),案件管理!$AE$5:$AE$104,$A10)</f>
        <v/>
      </c>
      <c r="AE10" s="37">
        <f>COUNTIFS(案件管理!$AD$5:$AD$104,"&gt;="&amp;DATE(2027,6,1),案件管理!$AD$5:$AD$104,"&lt;"&amp;DATE(2027,7,1),案件管理!$AE$5:$AE$104,$A10,案件管理!$F$5:$F$104,"&gt;="&amp;判定基準!$B$32,案件管理!$F$5:$F$104,"&lt;="&amp;判定基準!$B$33,案件管理!$G$5:$G$104,"&lt;="&amp;判定基準!$B$34,案件管理!$D$5:$D$104,"&lt;&gt;"&amp;判定基準!$B$35)</f>
        <v/>
      </c>
      <c r="AF10" s="37">
        <f>COUNTIFS(案件管理!$AD$5:$AD$104,"&gt;="&amp;DATE(2027,7,1),案件管理!$AD$5:$AD$104,"&lt;"&amp;DATE(2027,8,1),案件管理!$AE$5:$AE$104,$A10)</f>
        <v/>
      </c>
      <c r="AG10" s="37">
        <f>COUNTIFS(案件管理!$AD$5:$AD$104,"&gt;="&amp;DATE(2027,7,1),案件管理!$AD$5:$AD$104,"&lt;"&amp;DATE(2027,8,1),案件管理!$AE$5:$AE$104,$A10,案件管理!$F$5:$F$104,"&gt;="&amp;判定基準!$B$32,案件管理!$F$5:$F$104,"&lt;="&amp;判定基準!$B$33,案件管理!$G$5:$G$104,"&lt;="&amp;判定基準!$B$34,案件管理!$D$5:$D$104,"&lt;&gt;"&amp;判定基準!$B$35)</f>
        <v/>
      </c>
      <c r="AH10" s="37">
        <f>COUNTIFS(案件管理!$AD$5:$AD$104,"&gt;="&amp;DATE(2027,8,1),案件管理!$AD$5:$AD$104,"&lt;"&amp;DATE(2027,9,1),案件管理!$AE$5:$AE$104,$A10)</f>
        <v/>
      </c>
      <c r="AI10" s="37">
        <f>COUNTIFS(案件管理!$AD$5:$AD$104,"&gt;="&amp;DATE(2027,8,1),案件管理!$AD$5:$AD$104,"&lt;"&amp;DATE(2027,9,1),案件管理!$AE$5:$AE$104,$A10,案件管理!$F$5:$F$104,"&gt;="&amp;判定基準!$B$32,案件管理!$F$5:$F$104,"&lt;="&amp;判定基準!$B$33,案件管理!$G$5:$G$104,"&lt;="&amp;判定基準!$B$34,案件管理!$D$5:$D$104,"&lt;&gt;"&amp;判定基準!$B$35)</f>
        <v/>
      </c>
      <c r="AJ10" s="37">
        <f>L10+N10+P10+R10+T10+V10+X10+Z10+AB10+AD10+AF10+AH10</f>
        <v/>
      </c>
      <c r="AK10" s="37">
        <f>M10+O10+Q10+S10+U10+W10+Y10+AA10+AC10+AE10+AG10+AI10</f>
        <v/>
      </c>
      <c r="AL10" s="38">
        <f>IF(AJ10=0,"",AK10/AJ10)</f>
        <v/>
      </c>
    </row>
    <row r="11">
      <c r="A11" s="23" t="inlineStr">
        <is>
          <t>ソーシング・ブラザーズ株式会社</t>
        </is>
      </c>
      <c r="B11" s="17" t="n"/>
      <c r="C11" s="23" t="inlineStr">
        <is>
          <t>B</t>
        </is>
      </c>
      <c r="D11" s="23" t="inlineStr">
        <is>
          <t>新開</t>
        </is>
      </c>
      <c r="E11" s="22" t="n">
        <v>46267</v>
      </c>
      <c r="F11" s="22" t="n">
        <v>46279</v>
      </c>
      <c r="G11" s="20" t="n"/>
      <c r="H11" s="23" t="n"/>
      <c r="I11" s="23" t="n"/>
      <c r="J11" s="23" t="n"/>
      <c r="K11" s="23" t="n"/>
      <c r="L11" s="37">
        <f>COUNTIFS(案件管理!$AD$5:$AD$104,"&gt;="&amp;DATE(2026,9,1),案件管理!$AD$5:$AD$104,"&lt;"&amp;DATE(2026,10,1),案件管理!$AE$5:$AE$104,$A11)</f>
        <v/>
      </c>
      <c r="M11" s="37">
        <f>COUNTIFS(案件管理!$AD$5:$AD$104,"&gt;="&amp;DATE(2026,9,1),案件管理!$AD$5:$AD$104,"&lt;"&amp;DATE(2026,10,1),案件管理!$AE$5:$AE$104,$A11,案件管理!$F$5:$F$104,"&gt;="&amp;判定基準!$B$32,案件管理!$F$5:$F$104,"&lt;="&amp;判定基準!$B$33,案件管理!$G$5:$G$104,"&lt;="&amp;判定基準!$B$34,案件管理!$D$5:$D$104,"&lt;&gt;"&amp;判定基準!$B$35)</f>
        <v/>
      </c>
      <c r="N11" s="37">
        <f>COUNTIFS(案件管理!$AD$5:$AD$104,"&gt;="&amp;DATE(2026,10,1),案件管理!$AD$5:$AD$104,"&lt;"&amp;DATE(2026,11,1),案件管理!$AE$5:$AE$104,$A11)</f>
        <v/>
      </c>
      <c r="O11" s="37">
        <f>COUNTIFS(案件管理!$AD$5:$AD$104,"&gt;="&amp;DATE(2026,10,1),案件管理!$AD$5:$AD$104,"&lt;"&amp;DATE(2026,11,1),案件管理!$AE$5:$AE$104,$A11,案件管理!$F$5:$F$104,"&gt;="&amp;判定基準!$B$32,案件管理!$F$5:$F$104,"&lt;="&amp;判定基準!$B$33,案件管理!$G$5:$G$104,"&lt;="&amp;判定基準!$B$34,案件管理!$D$5:$D$104,"&lt;&gt;"&amp;判定基準!$B$35)</f>
        <v/>
      </c>
      <c r="P11" s="37">
        <f>COUNTIFS(案件管理!$AD$5:$AD$104,"&gt;="&amp;DATE(2026,11,1),案件管理!$AD$5:$AD$104,"&lt;"&amp;DATE(2026,12,1),案件管理!$AE$5:$AE$104,$A11)</f>
        <v/>
      </c>
      <c r="Q11" s="37">
        <f>COUNTIFS(案件管理!$AD$5:$AD$104,"&gt;="&amp;DATE(2026,11,1),案件管理!$AD$5:$AD$104,"&lt;"&amp;DATE(2026,12,1),案件管理!$AE$5:$AE$104,$A11,案件管理!$F$5:$F$104,"&gt;="&amp;判定基準!$B$32,案件管理!$F$5:$F$104,"&lt;="&amp;判定基準!$B$33,案件管理!$G$5:$G$104,"&lt;="&amp;判定基準!$B$34,案件管理!$D$5:$D$104,"&lt;&gt;"&amp;判定基準!$B$35)</f>
        <v/>
      </c>
      <c r="R11" s="37">
        <f>COUNTIFS(案件管理!$AD$5:$AD$104,"&gt;="&amp;DATE(2026,12,1),案件管理!$AD$5:$AD$104,"&lt;"&amp;DATE(2027,1,1),案件管理!$AE$5:$AE$104,$A11)</f>
        <v/>
      </c>
      <c r="S11" s="37">
        <f>COUNTIFS(案件管理!$AD$5:$AD$104,"&gt;="&amp;DATE(2026,12,1),案件管理!$AD$5:$AD$104,"&lt;"&amp;DATE(2027,1,1),案件管理!$AE$5:$AE$104,$A11,案件管理!$F$5:$F$104,"&gt;="&amp;判定基準!$B$32,案件管理!$F$5:$F$104,"&lt;="&amp;判定基準!$B$33,案件管理!$G$5:$G$104,"&lt;="&amp;判定基準!$B$34,案件管理!$D$5:$D$104,"&lt;&gt;"&amp;判定基準!$B$35)</f>
        <v/>
      </c>
      <c r="T11" s="37">
        <f>COUNTIFS(案件管理!$AD$5:$AD$104,"&gt;="&amp;DATE(2027,1,1),案件管理!$AD$5:$AD$104,"&lt;"&amp;DATE(2027,2,1),案件管理!$AE$5:$AE$104,$A11)</f>
        <v/>
      </c>
      <c r="U11" s="37">
        <f>COUNTIFS(案件管理!$AD$5:$AD$104,"&gt;="&amp;DATE(2027,1,1),案件管理!$AD$5:$AD$104,"&lt;"&amp;DATE(2027,2,1),案件管理!$AE$5:$AE$104,$A11,案件管理!$F$5:$F$104,"&gt;="&amp;判定基準!$B$32,案件管理!$F$5:$F$104,"&lt;="&amp;判定基準!$B$33,案件管理!$G$5:$G$104,"&lt;="&amp;判定基準!$B$34,案件管理!$D$5:$D$104,"&lt;&gt;"&amp;判定基準!$B$35)</f>
        <v/>
      </c>
      <c r="V11" s="37">
        <f>COUNTIFS(案件管理!$AD$5:$AD$104,"&gt;="&amp;DATE(2027,2,1),案件管理!$AD$5:$AD$104,"&lt;"&amp;DATE(2027,3,1),案件管理!$AE$5:$AE$104,$A11)</f>
        <v/>
      </c>
      <c r="W11" s="37">
        <f>COUNTIFS(案件管理!$AD$5:$AD$104,"&gt;="&amp;DATE(2027,2,1),案件管理!$AD$5:$AD$104,"&lt;"&amp;DATE(2027,3,1),案件管理!$AE$5:$AE$104,$A11,案件管理!$F$5:$F$104,"&gt;="&amp;判定基準!$B$32,案件管理!$F$5:$F$104,"&lt;="&amp;判定基準!$B$33,案件管理!$G$5:$G$104,"&lt;="&amp;判定基準!$B$34,案件管理!$D$5:$D$104,"&lt;&gt;"&amp;判定基準!$B$35)</f>
        <v/>
      </c>
      <c r="X11" s="37">
        <f>COUNTIFS(案件管理!$AD$5:$AD$104,"&gt;="&amp;DATE(2027,3,1),案件管理!$AD$5:$AD$104,"&lt;"&amp;DATE(2027,4,1),案件管理!$AE$5:$AE$104,$A11)</f>
        <v/>
      </c>
      <c r="Y11" s="37">
        <f>COUNTIFS(案件管理!$AD$5:$AD$104,"&gt;="&amp;DATE(2027,3,1),案件管理!$AD$5:$AD$104,"&lt;"&amp;DATE(2027,4,1),案件管理!$AE$5:$AE$104,$A11,案件管理!$F$5:$F$104,"&gt;="&amp;判定基準!$B$32,案件管理!$F$5:$F$104,"&lt;="&amp;判定基準!$B$33,案件管理!$G$5:$G$104,"&lt;="&amp;判定基準!$B$34,案件管理!$D$5:$D$104,"&lt;&gt;"&amp;判定基準!$B$35)</f>
        <v/>
      </c>
      <c r="Z11" s="37">
        <f>COUNTIFS(案件管理!$AD$5:$AD$104,"&gt;="&amp;DATE(2027,4,1),案件管理!$AD$5:$AD$104,"&lt;"&amp;DATE(2027,5,1),案件管理!$AE$5:$AE$104,$A11)</f>
        <v/>
      </c>
      <c r="AA11" s="37">
        <f>COUNTIFS(案件管理!$AD$5:$AD$104,"&gt;="&amp;DATE(2027,4,1),案件管理!$AD$5:$AD$104,"&lt;"&amp;DATE(2027,5,1),案件管理!$AE$5:$AE$104,$A11,案件管理!$F$5:$F$104,"&gt;="&amp;判定基準!$B$32,案件管理!$F$5:$F$104,"&lt;="&amp;判定基準!$B$33,案件管理!$G$5:$G$104,"&lt;="&amp;判定基準!$B$34,案件管理!$D$5:$D$104,"&lt;&gt;"&amp;判定基準!$B$35)</f>
        <v/>
      </c>
      <c r="AB11" s="37">
        <f>COUNTIFS(案件管理!$AD$5:$AD$104,"&gt;="&amp;DATE(2027,5,1),案件管理!$AD$5:$AD$104,"&lt;"&amp;DATE(2027,6,1),案件管理!$AE$5:$AE$104,$A11)</f>
        <v/>
      </c>
      <c r="AC11" s="37">
        <f>COUNTIFS(案件管理!$AD$5:$AD$104,"&gt;="&amp;DATE(2027,5,1),案件管理!$AD$5:$AD$104,"&lt;"&amp;DATE(2027,6,1),案件管理!$AE$5:$AE$104,$A11,案件管理!$F$5:$F$104,"&gt;="&amp;判定基準!$B$32,案件管理!$F$5:$F$104,"&lt;="&amp;判定基準!$B$33,案件管理!$G$5:$G$104,"&lt;="&amp;判定基準!$B$34,案件管理!$D$5:$D$104,"&lt;&gt;"&amp;判定基準!$B$35)</f>
        <v/>
      </c>
      <c r="AD11" s="37">
        <f>COUNTIFS(案件管理!$AD$5:$AD$104,"&gt;="&amp;DATE(2027,6,1),案件管理!$AD$5:$AD$104,"&lt;"&amp;DATE(2027,7,1),案件管理!$AE$5:$AE$104,$A11)</f>
        <v/>
      </c>
      <c r="AE11" s="37">
        <f>COUNTIFS(案件管理!$AD$5:$AD$104,"&gt;="&amp;DATE(2027,6,1),案件管理!$AD$5:$AD$104,"&lt;"&amp;DATE(2027,7,1),案件管理!$AE$5:$AE$104,$A11,案件管理!$F$5:$F$104,"&gt;="&amp;判定基準!$B$32,案件管理!$F$5:$F$104,"&lt;="&amp;判定基準!$B$33,案件管理!$G$5:$G$104,"&lt;="&amp;判定基準!$B$34,案件管理!$D$5:$D$104,"&lt;&gt;"&amp;判定基準!$B$35)</f>
        <v/>
      </c>
      <c r="AF11" s="37">
        <f>COUNTIFS(案件管理!$AD$5:$AD$104,"&gt;="&amp;DATE(2027,7,1),案件管理!$AD$5:$AD$104,"&lt;"&amp;DATE(2027,8,1),案件管理!$AE$5:$AE$104,$A11)</f>
        <v/>
      </c>
      <c r="AG11" s="37">
        <f>COUNTIFS(案件管理!$AD$5:$AD$104,"&gt;="&amp;DATE(2027,7,1),案件管理!$AD$5:$AD$104,"&lt;"&amp;DATE(2027,8,1),案件管理!$AE$5:$AE$104,$A11,案件管理!$F$5:$F$104,"&gt;="&amp;判定基準!$B$32,案件管理!$F$5:$F$104,"&lt;="&amp;判定基準!$B$33,案件管理!$G$5:$G$104,"&lt;="&amp;判定基準!$B$34,案件管理!$D$5:$D$104,"&lt;&gt;"&amp;判定基準!$B$35)</f>
        <v/>
      </c>
      <c r="AH11" s="37">
        <f>COUNTIFS(案件管理!$AD$5:$AD$104,"&gt;="&amp;DATE(2027,8,1),案件管理!$AD$5:$AD$104,"&lt;"&amp;DATE(2027,9,1),案件管理!$AE$5:$AE$104,$A11)</f>
        <v/>
      </c>
      <c r="AI11" s="37">
        <f>COUNTIFS(案件管理!$AD$5:$AD$104,"&gt;="&amp;DATE(2027,8,1),案件管理!$AD$5:$AD$104,"&lt;"&amp;DATE(2027,9,1),案件管理!$AE$5:$AE$104,$A11,案件管理!$F$5:$F$104,"&gt;="&amp;判定基準!$B$32,案件管理!$F$5:$F$104,"&lt;="&amp;判定基準!$B$33,案件管理!$G$5:$G$104,"&lt;="&amp;判定基準!$B$34,案件管理!$D$5:$D$104,"&lt;&gt;"&amp;判定基準!$B$35)</f>
        <v/>
      </c>
      <c r="AJ11" s="37">
        <f>L11+N11+P11+R11+T11+V11+X11+Z11+AB11+AD11+AF11+AH11</f>
        <v/>
      </c>
      <c r="AK11" s="37">
        <f>M11+O11+Q11+S11+U11+W11+Y11+AA11+AC11+AE11+AG11+AI11</f>
        <v/>
      </c>
      <c r="AL11" s="38">
        <f>IF(AJ11=0,"",AK11/AJ11)</f>
        <v/>
      </c>
    </row>
    <row r="12">
      <c r="A12" s="23" t="inlineStr">
        <is>
          <t>M&amp;Aロイヤルアドバイザリー株式会社</t>
        </is>
      </c>
      <c r="B12" s="17" t="n"/>
      <c r="C12" s="23" t="inlineStr">
        <is>
          <t>A</t>
        </is>
      </c>
      <c r="D12" s="23" t="inlineStr">
        <is>
          <t>矢板橋</t>
        </is>
      </c>
      <c r="E12" s="22" t="n">
        <v>46267</v>
      </c>
      <c r="F12" s="22" t="n">
        <v>46279</v>
      </c>
      <c r="G12" s="20" t="n"/>
      <c r="H12" s="23" t="n"/>
      <c r="I12" s="23" t="n"/>
      <c r="J12" s="23" t="n"/>
      <c r="K12" s="23" t="n"/>
      <c r="L12" s="37">
        <f>COUNTIFS(案件管理!$AD$5:$AD$104,"&gt;="&amp;DATE(2026,9,1),案件管理!$AD$5:$AD$104,"&lt;"&amp;DATE(2026,10,1),案件管理!$AE$5:$AE$104,$A12)</f>
        <v/>
      </c>
      <c r="M12" s="37">
        <f>COUNTIFS(案件管理!$AD$5:$AD$104,"&gt;="&amp;DATE(2026,9,1),案件管理!$AD$5:$AD$104,"&lt;"&amp;DATE(2026,10,1),案件管理!$AE$5:$AE$104,$A12,案件管理!$F$5:$F$104,"&gt;="&amp;判定基準!$B$32,案件管理!$F$5:$F$104,"&lt;="&amp;判定基準!$B$33,案件管理!$G$5:$G$104,"&lt;="&amp;判定基準!$B$34,案件管理!$D$5:$D$104,"&lt;&gt;"&amp;判定基準!$B$35)</f>
        <v/>
      </c>
      <c r="N12" s="37">
        <f>COUNTIFS(案件管理!$AD$5:$AD$104,"&gt;="&amp;DATE(2026,10,1),案件管理!$AD$5:$AD$104,"&lt;"&amp;DATE(2026,11,1),案件管理!$AE$5:$AE$104,$A12)</f>
        <v/>
      </c>
      <c r="O12" s="37">
        <f>COUNTIFS(案件管理!$AD$5:$AD$104,"&gt;="&amp;DATE(2026,10,1),案件管理!$AD$5:$AD$104,"&lt;"&amp;DATE(2026,11,1),案件管理!$AE$5:$AE$104,$A12,案件管理!$F$5:$F$104,"&gt;="&amp;判定基準!$B$32,案件管理!$F$5:$F$104,"&lt;="&amp;判定基準!$B$33,案件管理!$G$5:$G$104,"&lt;="&amp;判定基準!$B$34,案件管理!$D$5:$D$104,"&lt;&gt;"&amp;判定基準!$B$35)</f>
        <v/>
      </c>
      <c r="P12" s="37">
        <f>COUNTIFS(案件管理!$AD$5:$AD$104,"&gt;="&amp;DATE(2026,11,1),案件管理!$AD$5:$AD$104,"&lt;"&amp;DATE(2026,12,1),案件管理!$AE$5:$AE$104,$A12)</f>
        <v/>
      </c>
      <c r="Q12" s="37">
        <f>COUNTIFS(案件管理!$AD$5:$AD$104,"&gt;="&amp;DATE(2026,11,1),案件管理!$AD$5:$AD$104,"&lt;"&amp;DATE(2026,12,1),案件管理!$AE$5:$AE$104,$A12,案件管理!$F$5:$F$104,"&gt;="&amp;判定基準!$B$32,案件管理!$F$5:$F$104,"&lt;="&amp;判定基準!$B$33,案件管理!$G$5:$G$104,"&lt;="&amp;判定基準!$B$34,案件管理!$D$5:$D$104,"&lt;&gt;"&amp;判定基準!$B$35)</f>
        <v/>
      </c>
      <c r="R12" s="37">
        <f>COUNTIFS(案件管理!$AD$5:$AD$104,"&gt;="&amp;DATE(2026,12,1),案件管理!$AD$5:$AD$104,"&lt;"&amp;DATE(2027,1,1),案件管理!$AE$5:$AE$104,$A12)</f>
        <v/>
      </c>
      <c r="S12" s="37">
        <f>COUNTIFS(案件管理!$AD$5:$AD$104,"&gt;="&amp;DATE(2026,12,1),案件管理!$AD$5:$AD$104,"&lt;"&amp;DATE(2027,1,1),案件管理!$AE$5:$AE$104,$A12,案件管理!$F$5:$F$104,"&gt;="&amp;判定基準!$B$32,案件管理!$F$5:$F$104,"&lt;="&amp;判定基準!$B$33,案件管理!$G$5:$G$104,"&lt;="&amp;判定基準!$B$34,案件管理!$D$5:$D$104,"&lt;&gt;"&amp;判定基準!$B$35)</f>
        <v/>
      </c>
      <c r="T12" s="37">
        <f>COUNTIFS(案件管理!$AD$5:$AD$104,"&gt;="&amp;DATE(2027,1,1),案件管理!$AD$5:$AD$104,"&lt;"&amp;DATE(2027,2,1),案件管理!$AE$5:$AE$104,$A12)</f>
        <v/>
      </c>
      <c r="U12" s="37">
        <f>COUNTIFS(案件管理!$AD$5:$AD$104,"&gt;="&amp;DATE(2027,1,1),案件管理!$AD$5:$AD$104,"&lt;"&amp;DATE(2027,2,1),案件管理!$AE$5:$AE$104,$A12,案件管理!$F$5:$F$104,"&gt;="&amp;判定基準!$B$32,案件管理!$F$5:$F$104,"&lt;="&amp;判定基準!$B$33,案件管理!$G$5:$G$104,"&lt;="&amp;判定基準!$B$34,案件管理!$D$5:$D$104,"&lt;&gt;"&amp;判定基準!$B$35)</f>
        <v/>
      </c>
      <c r="V12" s="37">
        <f>COUNTIFS(案件管理!$AD$5:$AD$104,"&gt;="&amp;DATE(2027,2,1),案件管理!$AD$5:$AD$104,"&lt;"&amp;DATE(2027,3,1),案件管理!$AE$5:$AE$104,$A12)</f>
        <v/>
      </c>
      <c r="W12" s="37">
        <f>COUNTIFS(案件管理!$AD$5:$AD$104,"&gt;="&amp;DATE(2027,2,1),案件管理!$AD$5:$AD$104,"&lt;"&amp;DATE(2027,3,1),案件管理!$AE$5:$AE$104,$A12,案件管理!$F$5:$F$104,"&gt;="&amp;判定基準!$B$32,案件管理!$F$5:$F$104,"&lt;="&amp;判定基準!$B$33,案件管理!$G$5:$G$104,"&lt;="&amp;判定基準!$B$34,案件管理!$D$5:$D$104,"&lt;&gt;"&amp;判定基準!$B$35)</f>
        <v/>
      </c>
      <c r="X12" s="37">
        <f>COUNTIFS(案件管理!$AD$5:$AD$104,"&gt;="&amp;DATE(2027,3,1),案件管理!$AD$5:$AD$104,"&lt;"&amp;DATE(2027,4,1),案件管理!$AE$5:$AE$104,$A12)</f>
        <v/>
      </c>
      <c r="Y12" s="37">
        <f>COUNTIFS(案件管理!$AD$5:$AD$104,"&gt;="&amp;DATE(2027,3,1),案件管理!$AD$5:$AD$104,"&lt;"&amp;DATE(2027,4,1),案件管理!$AE$5:$AE$104,$A12,案件管理!$F$5:$F$104,"&gt;="&amp;判定基準!$B$32,案件管理!$F$5:$F$104,"&lt;="&amp;判定基準!$B$33,案件管理!$G$5:$G$104,"&lt;="&amp;判定基準!$B$34,案件管理!$D$5:$D$104,"&lt;&gt;"&amp;判定基準!$B$35)</f>
        <v/>
      </c>
      <c r="Z12" s="37">
        <f>COUNTIFS(案件管理!$AD$5:$AD$104,"&gt;="&amp;DATE(2027,4,1),案件管理!$AD$5:$AD$104,"&lt;"&amp;DATE(2027,5,1),案件管理!$AE$5:$AE$104,$A12)</f>
        <v/>
      </c>
      <c r="AA12" s="37">
        <f>COUNTIFS(案件管理!$AD$5:$AD$104,"&gt;="&amp;DATE(2027,4,1),案件管理!$AD$5:$AD$104,"&lt;"&amp;DATE(2027,5,1),案件管理!$AE$5:$AE$104,$A12,案件管理!$F$5:$F$104,"&gt;="&amp;判定基準!$B$32,案件管理!$F$5:$F$104,"&lt;="&amp;判定基準!$B$33,案件管理!$G$5:$G$104,"&lt;="&amp;判定基準!$B$34,案件管理!$D$5:$D$104,"&lt;&gt;"&amp;判定基準!$B$35)</f>
        <v/>
      </c>
      <c r="AB12" s="37">
        <f>COUNTIFS(案件管理!$AD$5:$AD$104,"&gt;="&amp;DATE(2027,5,1),案件管理!$AD$5:$AD$104,"&lt;"&amp;DATE(2027,6,1),案件管理!$AE$5:$AE$104,$A12)</f>
        <v/>
      </c>
      <c r="AC12" s="37">
        <f>COUNTIFS(案件管理!$AD$5:$AD$104,"&gt;="&amp;DATE(2027,5,1),案件管理!$AD$5:$AD$104,"&lt;"&amp;DATE(2027,6,1),案件管理!$AE$5:$AE$104,$A12,案件管理!$F$5:$F$104,"&gt;="&amp;判定基準!$B$32,案件管理!$F$5:$F$104,"&lt;="&amp;判定基準!$B$33,案件管理!$G$5:$G$104,"&lt;="&amp;判定基準!$B$34,案件管理!$D$5:$D$104,"&lt;&gt;"&amp;判定基準!$B$35)</f>
        <v/>
      </c>
      <c r="AD12" s="37">
        <f>COUNTIFS(案件管理!$AD$5:$AD$104,"&gt;="&amp;DATE(2027,6,1),案件管理!$AD$5:$AD$104,"&lt;"&amp;DATE(2027,7,1),案件管理!$AE$5:$AE$104,$A12)</f>
        <v/>
      </c>
      <c r="AE12" s="37">
        <f>COUNTIFS(案件管理!$AD$5:$AD$104,"&gt;="&amp;DATE(2027,6,1),案件管理!$AD$5:$AD$104,"&lt;"&amp;DATE(2027,7,1),案件管理!$AE$5:$AE$104,$A12,案件管理!$F$5:$F$104,"&gt;="&amp;判定基準!$B$32,案件管理!$F$5:$F$104,"&lt;="&amp;判定基準!$B$33,案件管理!$G$5:$G$104,"&lt;="&amp;判定基準!$B$34,案件管理!$D$5:$D$104,"&lt;&gt;"&amp;判定基準!$B$35)</f>
        <v/>
      </c>
      <c r="AF12" s="37">
        <f>COUNTIFS(案件管理!$AD$5:$AD$104,"&gt;="&amp;DATE(2027,7,1),案件管理!$AD$5:$AD$104,"&lt;"&amp;DATE(2027,8,1),案件管理!$AE$5:$AE$104,$A12)</f>
        <v/>
      </c>
      <c r="AG12" s="37">
        <f>COUNTIFS(案件管理!$AD$5:$AD$104,"&gt;="&amp;DATE(2027,7,1),案件管理!$AD$5:$AD$104,"&lt;"&amp;DATE(2027,8,1),案件管理!$AE$5:$AE$104,$A12,案件管理!$F$5:$F$104,"&gt;="&amp;判定基準!$B$32,案件管理!$F$5:$F$104,"&lt;="&amp;判定基準!$B$33,案件管理!$G$5:$G$104,"&lt;="&amp;判定基準!$B$34,案件管理!$D$5:$D$104,"&lt;&gt;"&amp;判定基準!$B$35)</f>
        <v/>
      </c>
      <c r="AH12" s="37">
        <f>COUNTIFS(案件管理!$AD$5:$AD$104,"&gt;="&amp;DATE(2027,8,1),案件管理!$AD$5:$AD$104,"&lt;"&amp;DATE(2027,9,1),案件管理!$AE$5:$AE$104,$A12)</f>
        <v/>
      </c>
      <c r="AI12" s="37">
        <f>COUNTIFS(案件管理!$AD$5:$AD$104,"&gt;="&amp;DATE(2027,8,1),案件管理!$AD$5:$AD$104,"&lt;"&amp;DATE(2027,9,1),案件管理!$AE$5:$AE$104,$A12,案件管理!$F$5:$F$104,"&gt;="&amp;判定基準!$B$32,案件管理!$F$5:$F$104,"&lt;="&amp;判定基準!$B$33,案件管理!$G$5:$G$104,"&lt;="&amp;判定基準!$B$34,案件管理!$D$5:$D$104,"&lt;&gt;"&amp;判定基準!$B$35)</f>
        <v/>
      </c>
      <c r="AJ12" s="37">
        <f>L12+N12+P12+R12+T12+V12+X12+Z12+AB12+AD12+AF12+AH12</f>
        <v/>
      </c>
      <c r="AK12" s="37">
        <f>M12+O12+Q12+S12+U12+W12+Y12+AA12+AC12+AE12+AG12+AI12</f>
        <v/>
      </c>
      <c r="AL12" s="38">
        <f>IF(AJ12=0,"",AK12/AJ12)</f>
        <v/>
      </c>
    </row>
    <row r="13">
      <c r="A13" s="23" t="inlineStr">
        <is>
          <t>株式会社Innovation M&amp;A</t>
        </is>
      </c>
      <c r="B13" s="17" t="n"/>
      <c r="C13" s="23" t="inlineStr">
        <is>
          <t>C</t>
        </is>
      </c>
      <c r="D13" s="23" t="inlineStr">
        <is>
          <t>村山</t>
        </is>
      </c>
      <c r="E13" s="22" t="n">
        <v>46279</v>
      </c>
      <c r="F13" s="23" t="n"/>
      <c r="G13" s="20" t="n"/>
      <c r="H13" s="23" t="n"/>
      <c r="I13" s="23" t="n"/>
      <c r="J13" s="23" t="n"/>
      <c r="K13" s="23" t="n"/>
      <c r="L13" s="37">
        <f>COUNTIFS(案件管理!$AD$5:$AD$104,"&gt;="&amp;DATE(2026,9,1),案件管理!$AD$5:$AD$104,"&lt;"&amp;DATE(2026,10,1),案件管理!$AE$5:$AE$104,$A13)</f>
        <v/>
      </c>
      <c r="M13" s="37">
        <f>COUNTIFS(案件管理!$AD$5:$AD$104,"&gt;="&amp;DATE(2026,9,1),案件管理!$AD$5:$AD$104,"&lt;"&amp;DATE(2026,10,1),案件管理!$AE$5:$AE$104,$A13,案件管理!$F$5:$F$104,"&gt;="&amp;判定基準!$B$32,案件管理!$F$5:$F$104,"&lt;="&amp;判定基準!$B$33,案件管理!$G$5:$G$104,"&lt;="&amp;判定基準!$B$34,案件管理!$D$5:$D$104,"&lt;&gt;"&amp;判定基準!$B$35)</f>
        <v/>
      </c>
      <c r="N13" s="37">
        <f>COUNTIFS(案件管理!$AD$5:$AD$104,"&gt;="&amp;DATE(2026,10,1),案件管理!$AD$5:$AD$104,"&lt;"&amp;DATE(2026,11,1),案件管理!$AE$5:$AE$104,$A13)</f>
        <v/>
      </c>
      <c r="O13" s="37">
        <f>COUNTIFS(案件管理!$AD$5:$AD$104,"&gt;="&amp;DATE(2026,10,1),案件管理!$AD$5:$AD$104,"&lt;"&amp;DATE(2026,11,1),案件管理!$AE$5:$AE$104,$A13,案件管理!$F$5:$F$104,"&gt;="&amp;判定基準!$B$32,案件管理!$F$5:$F$104,"&lt;="&amp;判定基準!$B$33,案件管理!$G$5:$G$104,"&lt;="&amp;判定基準!$B$34,案件管理!$D$5:$D$104,"&lt;&gt;"&amp;判定基準!$B$35)</f>
        <v/>
      </c>
      <c r="P13" s="37">
        <f>COUNTIFS(案件管理!$AD$5:$AD$104,"&gt;="&amp;DATE(2026,11,1),案件管理!$AD$5:$AD$104,"&lt;"&amp;DATE(2026,12,1),案件管理!$AE$5:$AE$104,$A13)</f>
        <v/>
      </c>
      <c r="Q13" s="37">
        <f>COUNTIFS(案件管理!$AD$5:$AD$104,"&gt;="&amp;DATE(2026,11,1),案件管理!$AD$5:$AD$104,"&lt;"&amp;DATE(2026,12,1),案件管理!$AE$5:$AE$104,$A13,案件管理!$F$5:$F$104,"&gt;="&amp;判定基準!$B$32,案件管理!$F$5:$F$104,"&lt;="&amp;判定基準!$B$33,案件管理!$G$5:$G$104,"&lt;="&amp;判定基準!$B$34,案件管理!$D$5:$D$104,"&lt;&gt;"&amp;判定基準!$B$35)</f>
        <v/>
      </c>
      <c r="R13" s="37">
        <f>COUNTIFS(案件管理!$AD$5:$AD$104,"&gt;="&amp;DATE(2026,12,1),案件管理!$AD$5:$AD$104,"&lt;"&amp;DATE(2027,1,1),案件管理!$AE$5:$AE$104,$A13)</f>
        <v/>
      </c>
      <c r="S13" s="37">
        <f>COUNTIFS(案件管理!$AD$5:$AD$104,"&gt;="&amp;DATE(2026,12,1),案件管理!$AD$5:$AD$104,"&lt;"&amp;DATE(2027,1,1),案件管理!$AE$5:$AE$104,$A13,案件管理!$F$5:$F$104,"&gt;="&amp;判定基準!$B$32,案件管理!$F$5:$F$104,"&lt;="&amp;判定基準!$B$33,案件管理!$G$5:$G$104,"&lt;="&amp;判定基準!$B$34,案件管理!$D$5:$D$104,"&lt;&gt;"&amp;判定基準!$B$35)</f>
        <v/>
      </c>
      <c r="T13" s="37">
        <f>COUNTIFS(案件管理!$AD$5:$AD$104,"&gt;="&amp;DATE(2027,1,1),案件管理!$AD$5:$AD$104,"&lt;"&amp;DATE(2027,2,1),案件管理!$AE$5:$AE$104,$A13)</f>
        <v/>
      </c>
      <c r="U13" s="37">
        <f>COUNTIFS(案件管理!$AD$5:$AD$104,"&gt;="&amp;DATE(2027,1,1),案件管理!$AD$5:$AD$104,"&lt;"&amp;DATE(2027,2,1),案件管理!$AE$5:$AE$104,$A13,案件管理!$F$5:$F$104,"&gt;="&amp;判定基準!$B$32,案件管理!$F$5:$F$104,"&lt;="&amp;判定基準!$B$33,案件管理!$G$5:$G$104,"&lt;="&amp;判定基準!$B$34,案件管理!$D$5:$D$104,"&lt;&gt;"&amp;判定基準!$B$35)</f>
        <v/>
      </c>
      <c r="V13" s="37">
        <f>COUNTIFS(案件管理!$AD$5:$AD$104,"&gt;="&amp;DATE(2027,2,1),案件管理!$AD$5:$AD$104,"&lt;"&amp;DATE(2027,3,1),案件管理!$AE$5:$AE$104,$A13)</f>
        <v/>
      </c>
      <c r="W13" s="37">
        <f>COUNTIFS(案件管理!$AD$5:$AD$104,"&gt;="&amp;DATE(2027,2,1),案件管理!$AD$5:$AD$104,"&lt;"&amp;DATE(2027,3,1),案件管理!$AE$5:$AE$104,$A13,案件管理!$F$5:$F$104,"&gt;="&amp;判定基準!$B$32,案件管理!$F$5:$F$104,"&lt;="&amp;判定基準!$B$33,案件管理!$G$5:$G$104,"&lt;="&amp;判定基準!$B$34,案件管理!$D$5:$D$104,"&lt;&gt;"&amp;判定基準!$B$35)</f>
        <v/>
      </c>
      <c r="X13" s="37">
        <f>COUNTIFS(案件管理!$AD$5:$AD$104,"&gt;="&amp;DATE(2027,3,1),案件管理!$AD$5:$AD$104,"&lt;"&amp;DATE(2027,4,1),案件管理!$AE$5:$AE$104,$A13)</f>
        <v/>
      </c>
      <c r="Y13" s="37">
        <f>COUNTIFS(案件管理!$AD$5:$AD$104,"&gt;="&amp;DATE(2027,3,1),案件管理!$AD$5:$AD$104,"&lt;"&amp;DATE(2027,4,1),案件管理!$AE$5:$AE$104,$A13,案件管理!$F$5:$F$104,"&gt;="&amp;判定基準!$B$32,案件管理!$F$5:$F$104,"&lt;="&amp;判定基準!$B$33,案件管理!$G$5:$G$104,"&lt;="&amp;判定基準!$B$34,案件管理!$D$5:$D$104,"&lt;&gt;"&amp;判定基準!$B$35)</f>
        <v/>
      </c>
      <c r="Z13" s="37">
        <f>COUNTIFS(案件管理!$AD$5:$AD$104,"&gt;="&amp;DATE(2027,4,1),案件管理!$AD$5:$AD$104,"&lt;"&amp;DATE(2027,5,1),案件管理!$AE$5:$AE$104,$A13)</f>
        <v/>
      </c>
      <c r="AA13" s="37">
        <f>COUNTIFS(案件管理!$AD$5:$AD$104,"&gt;="&amp;DATE(2027,4,1),案件管理!$AD$5:$AD$104,"&lt;"&amp;DATE(2027,5,1),案件管理!$AE$5:$AE$104,$A13,案件管理!$F$5:$F$104,"&gt;="&amp;判定基準!$B$32,案件管理!$F$5:$F$104,"&lt;="&amp;判定基準!$B$33,案件管理!$G$5:$G$104,"&lt;="&amp;判定基準!$B$34,案件管理!$D$5:$D$104,"&lt;&gt;"&amp;判定基準!$B$35)</f>
        <v/>
      </c>
      <c r="AB13" s="37">
        <f>COUNTIFS(案件管理!$AD$5:$AD$104,"&gt;="&amp;DATE(2027,5,1),案件管理!$AD$5:$AD$104,"&lt;"&amp;DATE(2027,6,1),案件管理!$AE$5:$AE$104,$A13)</f>
        <v/>
      </c>
      <c r="AC13" s="37">
        <f>COUNTIFS(案件管理!$AD$5:$AD$104,"&gt;="&amp;DATE(2027,5,1),案件管理!$AD$5:$AD$104,"&lt;"&amp;DATE(2027,6,1),案件管理!$AE$5:$AE$104,$A13,案件管理!$F$5:$F$104,"&gt;="&amp;判定基準!$B$32,案件管理!$F$5:$F$104,"&lt;="&amp;判定基準!$B$33,案件管理!$G$5:$G$104,"&lt;="&amp;判定基準!$B$34,案件管理!$D$5:$D$104,"&lt;&gt;"&amp;判定基準!$B$35)</f>
        <v/>
      </c>
      <c r="AD13" s="37">
        <f>COUNTIFS(案件管理!$AD$5:$AD$104,"&gt;="&amp;DATE(2027,6,1),案件管理!$AD$5:$AD$104,"&lt;"&amp;DATE(2027,7,1),案件管理!$AE$5:$AE$104,$A13)</f>
        <v/>
      </c>
      <c r="AE13" s="37">
        <f>COUNTIFS(案件管理!$AD$5:$AD$104,"&gt;="&amp;DATE(2027,6,1),案件管理!$AD$5:$AD$104,"&lt;"&amp;DATE(2027,7,1),案件管理!$AE$5:$AE$104,$A13,案件管理!$F$5:$F$104,"&gt;="&amp;判定基準!$B$32,案件管理!$F$5:$F$104,"&lt;="&amp;判定基準!$B$33,案件管理!$G$5:$G$104,"&lt;="&amp;判定基準!$B$34,案件管理!$D$5:$D$104,"&lt;&gt;"&amp;判定基準!$B$35)</f>
        <v/>
      </c>
      <c r="AF13" s="37">
        <f>COUNTIFS(案件管理!$AD$5:$AD$104,"&gt;="&amp;DATE(2027,7,1),案件管理!$AD$5:$AD$104,"&lt;"&amp;DATE(2027,8,1),案件管理!$AE$5:$AE$104,$A13)</f>
        <v/>
      </c>
      <c r="AG13" s="37">
        <f>COUNTIFS(案件管理!$AD$5:$AD$104,"&gt;="&amp;DATE(2027,7,1),案件管理!$AD$5:$AD$104,"&lt;"&amp;DATE(2027,8,1),案件管理!$AE$5:$AE$104,$A13,案件管理!$F$5:$F$104,"&gt;="&amp;判定基準!$B$32,案件管理!$F$5:$F$104,"&lt;="&amp;判定基準!$B$33,案件管理!$G$5:$G$104,"&lt;="&amp;判定基準!$B$34,案件管理!$D$5:$D$104,"&lt;&gt;"&amp;判定基準!$B$35)</f>
        <v/>
      </c>
      <c r="AH13" s="37">
        <f>COUNTIFS(案件管理!$AD$5:$AD$104,"&gt;="&amp;DATE(2027,8,1),案件管理!$AD$5:$AD$104,"&lt;"&amp;DATE(2027,9,1),案件管理!$AE$5:$AE$104,$A13)</f>
        <v/>
      </c>
      <c r="AI13" s="37">
        <f>COUNTIFS(案件管理!$AD$5:$AD$104,"&gt;="&amp;DATE(2027,8,1),案件管理!$AD$5:$AD$104,"&lt;"&amp;DATE(2027,9,1),案件管理!$AE$5:$AE$104,$A13,案件管理!$F$5:$F$104,"&gt;="&amp;判定基準!$B$32,案件管理!$F$5:$F$104,"&lt;="&amp;判定基準!$B$33,案件管理!$G$5:$G$104,"&lt;="&amp;判定基準!$B$34,案件管理!$D$5:$D$104,"&lt;&gt;"&amp;判定基準!$B$35)</f>
        <v/>
      </c>
      <c r="AJ13" s="37">
        <f>L13+N13+P13+R13+T13+V13+X13+Z13+AB13+AD13+AF13+AH13</f>
        <v/>
      </c>
      <c r="AK13" s="37">
        <f>M13+O13+Q13+S13+U13+W13+Y13+AA13+AC13+AE13+AG13+AI13</f>
        <v/>
      </c>
      <c r="AL13" s="38">
        <f>IF(AJ13=0,"",AK13/AJ13)</f>
        <v/>
      </c>
    </row>
    <row r="14">
      <c r="A14" s="23" t="inlineStr">
        <is>
          <t>株式会社M&amp;Aフォース</t>
        </is>
      </c>
      <c r="B14" s="17" t="n"/>
      <c r="C14" s="23" t="n"/>
      <c r="D14" s="23" t="inlineStr">
        <is>
          <t>木村</t>
        </is>
      </c>
      <c r="E14" s="22" t="n">
        <v>46279</v>
      </c>
      <c r="F14" s="23" t="n"/>
      <c r="G14" s="20" t="n"/>
      <c r="H14" s="23" t="n"/>
      <c r="I14" s="23" t="n"/>
      <c r="J14" s="23" t="n"/>
      <c r="K14" s="23" t="n"/>
      <c r="L14" s="37">
        <f>COUNTIFS(案件管理!$AD$5:$AD$104,"&gt;="&amp;DATE(2026,9,1),案件管理!$AD$5:$AD$104,"&lt;"&amp;DATE(2026,10,1),案件管理!$AE$5:$AE$104,$A14)</f>
        <v/>
      </c>
      <c r="M14" s="37">
        <f>COUNTIFS(案件管理!$AD$5:$AD$104,"&gt;="&amp;DATE(2026,9,1),案件管理!$AD$5:$AD$104,"&lt;"&amp;DATE(2026,10,1),案件管理!$AE$5:$AE$104,$A14,案件管理!$F$5:$F$104,"&gt;="&amp;判定基準!$B$32,案件管理!$F$5:$F$104,"&lt;="&amp;判定基準!$B$33,案件管理!$G$5:$G$104,"&lt;="&amp;判定基準!$B$34,案件管理!$D$5:$D$104,"&lt;&gt;"&amp;判定基準!$B$35)</f>
        <v/>
      </c>
      <c r="N14" s="37">
        <f>COUNTIFS(案件管理!$AD$5:$AD$104,"&gt;="&amp;DATE(2026,10,1),案件管理!$AD$5:$AD$104,"&lt;"&amp;DATE(2026,11,1),案件管理!$AE$5:$AE$104,$A14)</f>
        <v/>
      </c>
      <c r="O14" s="37">
        <f>COUNTIFS(案件管理!$AD$5:$AD$104,"&gt;="&amp;DATE(2026,10,1),案件管理!$AD$5:$AD$104,"&lt;"&amp;DATE(2026,11,1),案件管理!$AE$5:$AE$104,$A14,案件管理!$F$5:$F$104,"&gt;="&amp;判定基準!$B$32,案件管理!$F$5:$F$104,"&lt;="&amp;判定基準!$B$33,案件管理!$G$5:$G$104,"&lt;="&amp;判定基準!$B$34,案件管理!$D$5:$D$104,"&lt;&gt;"&amp;判定基準!$B$35)</f>
        <v/>
      </c>
      <c r="P14" s="37">
        <f>COUNTIFS(案件管理!$AD$5:$AD$104,"&gt;="&amp;DATE(2026,11,1),案件管理!$AD$5:$AD$104,"&lt;"&amp;DATE(2026,12,1),案件管理!$AE$5:$AE$104,$A14)</f>
        <v/>
      </c>
      <c r="Q14" s="37">
        <f>COUNTIFS(案件管理!$AD$5:$AD$104,"&gt;="&amp;DATE(2026,11,1),案件管理!$AD$5:$AD$104,"&lt;"&amp;DATE(2026,12,1),案件管理!$AE$5:$AE$104,$A14,案件管理!$F$5:$F$104,"&gt;="&amp;判定基準!$B$32,案件管理!$F$5:$F$104,"&lt;="&amp;判定基準!$B$33,案件管理!$G$5:$G$104,"&lt;="&amp;判定基準!$B$34,案件管理!$D$5:$D$104,"&lt;&gt;"&amp;判定基準!$B$35)</f>
        <v/>
      </c>
      <c r="R14" s="37">
        <f>COUNTIFS(案件管理!$AD$5:$AD$104,"&gt;="&amp;DATE(2026,12,1),案件管理!$AD$5:$AD$104,"&lt;"&amp;DATE(2027,1,1),案件管理!$AE$5:$AE$104,$A14)</f>
        <v/>
      </c>
      <c r="S14" s="37">
        <f>COUNTIFS(案件管理!$AD$5:$AD$104,"&gt;="&amp;DATE(2026,12,1),案件管理!$AD$5:$AD$104,"&lt;"&amp;DATE(2027,1,1),案件管理!$AE$5:$AE$104,$A14,案件管理!$F$5:$F$104,"&gt;="&amp;判定基準!$B$32,案件管理!$F$5:$F$104,"&lt;="&amp;判定基準!$B$33,案件管理!$G$5:$G$104,"&lt;="&amp;判定基準!$B$34,案件管理!$D$5:$D$104,"&lt;&gt;"&amp;判定基準!$B$35)</f>
        <v/>
      </c>
      <c r="T14" s="37">
        <f>COUNTIFS(案件管理!$AD$5:$AD$104,"&gt;="&amp;DATE(2027,1,1),案件管理!$AD$5:$AD$104,"&lt;"&amp;DATE(2027,2,1),案件管理!$AE$5:$AE$104,$A14)</f>
        <v/>
      </c>
      <c r="U14" s="37">
        <f>COUNTIFS(案件管理!$AD$5:$AD$104,"&gt;="&amp;DATE(2027,1,1),案件管理!$AD$5:$AD$104,"&lt;"&amp;DATE(2027,2,1),案件管理!$AE$5:$AE$104,$A14,案件管理!$F$5:$F$104,"&gt;="&amp;判定基準!$B$32,案件管理!$F$5:$F$104,"&lt;="&amp;判定基準!$B$33,案件管理!$G$5:$G$104,"&lt;="&amp;判定基準!$B$34,案件管理!$D$5:$D$104,"&lt;&gt;"&amp;判定基準!$B$35)</f>
        <v/>
      </c>
      <c r="V14" s="37">
        <f>COUNTIFS(案件管理!$AD$5:$AD$104,"&gt;="&amp;DATE(2027,2,1),案件管理!$AD$5:$AD$104,"&lt;"&amp;DATE(2027,3,1),案件管理!$AE$5:$AE$104,$A14)</f>
        <v/>
      </c>
      <c r="W14" s="37">
        <f>COUNTIFS(案件管理!$AD$5:$AD$104,"&gt;="&amp;DATE(2027,2,1),案件管理!$AD$5:$AD$104,"&lt;"&amp;DATE(2027,3,1),案件管理!$AE$5:$AE$104,$A14,案件管理!$F$5:$F$104,"&gt;="&amp;判定基準!$B$32,案件管理!$F$5:$F$104,"&lt;="&amp;判定基準!$B$33,案件管理!$G$5:$G$104,"&lt;="&amp;判定基準!$B$34,案件管理!$D$5:$D$104,"&lt;&gt;"&amp;判定基準!$B$35)</f>
        <v/>
      </c>
      <c r="X14" s="37">
        <f>COUNTIFS(案件管理!$AD$5:$AD$104,"&gt;="&amp;DATE(2027,3,1),案件管理!$AD$5:$AD$104,"&lt;"&amp;DATE(2027,4,1),案件管理!$AE$5:$AE$104,$A14)</f>
        <v/>
      </c>
      <c r="Y14" s="37">
        <f>COUNTIFS(案件管理!$AD$5:$AD$104,"&gt;="&amp;DATE(2027,3,1),案件管理!$AD$5:$AD$104,"&lt;"&amp;DATE(2027,4,1),案件管理!$AE$5:$AE$104,$A14,案件管理!$F$5:$F$104,"&gt;="&amp;判定基準!$B$32,案件管理!$F$5:$F$104,"&lt;="&amp;判定基準!$B$33,案件管理!$G$5:$G$104,"&lt;="&amp;判定基準!$B$34,案件管理!$D$5:$D$104,"&lt;&gt;"&amp;判定基準!$B$35)</f>
        <v/>
      </c>
      <c r="Z14" s="37">
        <f>COUNTIFS(案件管理!$AD$5:$AD$104,"&gt;="&amp;DATE(2027,4,1),案件管理!$AD$5:$AD$104,"&lt;"&amp;DATE(2027,5,1),案件管理!$AE$5:$AE$104,$A14)</f>
        <v/>
      </c>
      <c r="AA14" s="37">
        <f>COUNTIFS(案件管理!$AD$5:$AD$104,"&gt;="&amp;DATE(2027,4,1),案件管理!$AD$5:$AD$104,"&lt;"&amp;DATE(2027,5,1),案件管理!$AE$5:$AE$104,$A14,案件管理!$F$5:$F$104,"&gt;="&amp;判定基準!$B$32,案件管理!$F$5:$F$104,"&lt;="&amp;判定基準!$B$33,案件管理!$G$5:$G$104,"&lt;="&amp;判定基準!$B$34,案件管理!$D$5:$D$104,"&lt;&gt;"&amp;判定基準!$B$35)</f>
        <v/>
      </c>
      <c r="AB14" s="37">
        <f>COUNTIFS(案件管理!$AD$5:$AD$104,"&gt;="&amp;DATE(2027,5,1),案件管理!$AD$5:$AD$104,"&lt;"&amp;DATE(2027,6,1),案件管理!$AE$5:$AE$104,$A14)</f>
        <v/>
      </c>
      <c r="AC14" s="37">
        <f>COUNTIFS(案件管理!$AD$5:$AD$104,"&gt;="&amp;DATE(2027,5,1),案件管理!$AD$5:$AD$104,"&lt;"&amp;DATE(2027,6,1),案件管理!$AE$5:$AE$104,$A14,案件管理!$F$5:$F$104,"&gt;="&amp;判定基準!$B$32,案件管理!$F$5:$F$104,"&lt;="&amp;判定基準!$B$33,案件管理!$G$5:$G$104,"&lt;="&amp;判定基準!$B$34,案件管理!$D$5:$D$104,"&lt;&gt;"&amp;判定基準!$B$35)</f>
        <v/>
      </c>
      <c r="AD14" s="37">
        <f>COUNTIFS(案件管理!$AD$5:$AD$104,"&gt;="&amp;DATE(2027,6,1),案件管理!$AD$5:$AD$104,"&lt;"&amp;DATE(2027,7,1),案件管理!$AE$5:$AE$104,$A14)</f>
        <v/>
      </c>
      <c r="AE14" s="37">
        <f>COUNTIFS(案件管理!$AD$5:$AD$104,"&gt;="&amp;DATE(2027,6,1),案件管理!$AD$5:$AD$104,"&lt;"&amp;DATE(2027,7,1),案件管理!$AE$5:$AE$104,$A14,案件管理!$F$5:$F$104,"&gt;="&amp;判定基準!$B$32,案件管理!$F$5:$F$104,"&lt;="&amp;判定基準!$B$33,案件管理!$G$5:$G$104,"&lt;="&amp;判定基準!$B$34,案件管理!$D$5:$D$104,"&lt;&gt;"&amp;判定基準!$B$35)</f>
        <v/>
      </c>
      <c r="AF14" s="37">
        <f>COUNTIFS(案件管理!$AD$5:$AD$104,"&gt;="&amp;DATE(2027,7,1),案件管理!$AD$5:$AD$104,"&lt;"&amp;DATE(2027,8,1),案件管理!$AE$5:$AE$104,$A14)</f>
        <v/>
      </c>
      <c r="AG14" s="37">
        <f>COUNTIFS(案件管理!$AD$5:$AD$104,"&gt;="&amp;DATE(2027,7,1),案件管理!$AD$5:$AD$104,"&lt;"&amp;DATE(2027,8,1),案件管理!$AE$5:$AE$104,$A14,案件管理!$F$5:$F$104,"&gt;="&amp;判定基準!$B$32,案件管理!$F$5:$F$104,"&lt;="&amp;判定基準!$B$33,案件管理!$G$5:$G$104,"&lt;="&amp;判定基準!$B$34,案件管理!$D$5:$D$104,"&lt;&gt;"&amp;判定基準!$B$35)</f>
        <v/>
      </c>
      <c r="AH14" s="37">
        <f>COUNTIFS(案件管理!$AD$5:$AD$104,"&gt;="&amp;DATE(2027,8,1),案件管理!$AD$5:$AD$104,"&lt;"&amp;DATE(2027,9,1),案件管理!$AE$5:$AE$104,$A14)</f>
        <v/>
      </c>
      <c r="AI14" s="37">
        <f>COUNTIFS(案件管理!$AD$5:$AD$104,"&gt;="&amp;DATE(2027,8,1),案件管理!$AD$5:$AD$104,"&lt;"&amp;DATE(2027,9,1),案件管理!$AE$5:$AE$104,$A14,案件管理!$F$5:$F$104,"&gt;="&amp;判定基準!$B$32,案件管理!$F$5:$F$104,"&lt;="&amp;判定基準!$B$33,案件管理!$G$5:$G$104,"&lt;="&amp;判定基準!$B$34,案件管理!$D$5:$D$104,"&lt;&gt;"&amp;判定基準!$B$35)</f>
        <v/>
      </c>
      <c r="AJ14" s="37">
        <f>L14+N14+P14+R14+T14+V14+X14+Z14+AB14+AD14+AF14+AH14</f>
        <v/>
      </c>
      <c r="AK14" s="37">
        <f>M14+O14+Q14+S14+U14+W14+Y14+AA14+AC14+AE14+AG14+AI14</f>
        <v/>
      </c>
      <c r="AL14" s="38">
        <f>IF(AJ14=0,"",AK14/AJ14)</f>
        <v/>
      </c>
    </row>
    <row r="15">
      <c r="A15" s="23" t="inlineStr">
        <is>
          <t>Byside株式会社</t>
        </is>
      </c>
      <c r="B15" s="17" t="n"/>
      <c r="C15" s="23" t="inlineStr">
        <is>
          <t>B</t>
        </is>
      </c>
      <c r="D15" s="23" t="inlineStr">
        <is>
          <t>荒木</t>
        </is>
      </c>
      <c r="E15" s="22" t="n">
        <v>46266</v>
      </c>
      <c r="F15" s="22" t="n">
        <v>46279</v>
      </c>
      <c r="G15" s="20" t="n"/>
      <c r="H15" s="23" t="n"/>
      <c r="I15" s="23" t="n"/>
      <c r="J15" s="23" t="n"/>
      <c r="K15" s="23" t="n"/>
      <c r="L15" s="37">
        <f>COUNTIFS(案件管理!$AD$5:$AD$104,"&gt;="&amp;DATE(2026,9,1),案件管理!$AD$5:$AD$104,"&lt;"&amp;DATE(2026,10,1),案件管理!$AE$5:$AE$104,$A15)</f>
        <v/>
      </c>
      <c r="M15" s="37">
        <f>COUNTIFS(案件管理!$AD$5:$AD$104,"&gt;="&amp;DATE(2026,9,1),案件管理!$AD$5:$AD$104,"&lt;"&amp;DATE(2026,10,1),案件管理!$AE$5:$AE$104,$A15,案件管理!$F$5:$F$104,"&gt;="&amp;判定基準!$B$32,案件管理!$F$5:$F$104,"&lt;="&amp;判定基準!$B$33,案件管理!$G$5:$G$104,"&lt;="&amp;判定基準!$B$34,案件管理!$D$5:$D$104,"&lt;&gt;"&amp;判定基準!$B$35)</f>
        <v/>
      </c>
      <c r="N15" s="37">
        <f>COUNTIFS(案件管理!$AD$5:$AD$104,"&gt;="&amp;DATE(2026,10,1),案件管理!$AD$5:$AD$104,"&lt;"&amp;DATE(2026,11,1),案件管理!$AE$5:$AE$104,$A15)</f>
        <v/>
      </c>
      <c r="O15" s="37">
        <f>COUNTIFS(案件管理!$AD$5:$AD$104,"&gt;="&amp;DATE(2026,10,1),案件管理!$AD$5:$AD$104,"&lt;"&amp;DATE(2026,11,1),案件管理!$AE$5:$AE$104,$A15,案件管理!$F$5:$F$104,"&gt;="&amp;判定基準!$B$32,案件管理!$F$5:$F$104,"&lt;="&amp;判定基準!$B$33,案件管理!$G$5:$G$104,"&lt;="&amp;判定基準!$B$34,案件管理!$D$5:$D$104,"&lt;&gt;"&amp;判定基準!$B$35)</f>
        <v/>
      </c>
      <c r="P15" s="37">
        <f>COUNTIFS(案件管理!$AD$5:$AD$104,"&gt;="&amp;DATE(2026,11,1),案件管理!$AD$5:$AD$104,"&lt;"&amp;DATE(2026,12,1),案件管理!$AE$5:$AE$104,$A15)</f>
        <v/>
      </c>
      <c r="Q15" s="37">
        <f>COUNTIFS(案件管理!$AD$5:$AD$104,"&gt;="&amp;DATE(2026,11,1),案件管理!$AD$5:$AD$104,"&lt;"&amp;DATE(2026,12,1),案件管理!$AE$5:$AE$104,$A15,案件管理!$F$5:$F$104,"&gt;="&amp;判定基準!$B$32,案件管理!$F$5:$F$104,"&lt;="&amp;判定基準!$B$33,案件管理!$G$5:$G$104,"&lt;="&amp;判定基準!$B$34,案件管理!$D$5:$D$104,"&lt;&gt;"&amp;判定基準!$B$35)</f>
        <v/>
      </c>
      <c r="R15" s="37">
        <f>COUNTIFS(案件管理!$AD$5:$AD$104,"&gt;="&amp;DATE(2026,12,1),案件管理!$AD$5:$AD$104,"&lt;"&amp;DATE(2027,1,1),案件管理!$AE$5:$AE$104,$A15)</f>
        <v/>
      </c>
      <c r="S15" s="37">
        <f>COUNTIFS(案件管理!$AD$5:$AD$104,"&gt;="&amp;DATE(2026,12,1),案件管理!$AD$5:$AD$104,"&lt;"&amp;DATE(2027,1,1),案件管理!$AE$5:$AE$104,$A15,案件管理!$F$5:$F$104,"&gt;="&amp;判定基準!$B$32,案件管理!$F$5:$F$104,"&lt;="&amp;判定基準!$B$33,案件管理!$G$5:$G$104,"&lt;="&amp;判定基準!$B$34,案件管理!$D$5:$D$104,"&lt;&gt;"&amp;判定基準!$B$35)</f>
        <v/>
      </c>
      <c r="T15" s="37">
        <f>COUNTIFS(案件管理!$AD$5:$AD$104,"&gt;="&amp;DATE(2027,1,1),案件管理!$AD$5:$AD$104,"&lt;"&amp;DATE(2027,2,1),案件管理!$AE$5:$AE$104,$A15)</f>
        <v/>
      </c>
      <c r="U15" s="37">
        <f>COUNTIFS(案件管理!$AD$5:$AD$104,"&gt;="&amp;DATE(2027,1,1),案件管理!$AD$5:$AD$104,"&lt;"&amp;DATE(2027,2,1),案件管理!$AE$5:$AE$104,$A15,案件管理!$F$5:$F$104,"&gt;="&amp;判定基準!$B$32,案件管理!$F$5:$F$104,"&lt;="&amp;判定基準!$B$33,案件管理!$G$5:$G$104,"&lt;="&amp;判定基準!$B$34,案件管理!$D$5:$D$104,"&lt;&gt;"&amp;判定基準!$B$35)</f>
        <v/>
      </c>
      <c r="V15" s="37">
        <f>COUNTIFS(案件管理!$AD$5:$AD$104,"&gt;="&amp;DATE(2027,2,1),案件管理!$AD$5:$AD$104,"&lt;"&amp;DATE(2027,3,1),案件管理!$AE$5:$AE$104,$A15)</f>
        <v/>
      </c>
      <c r="W15" s="37">
        <f>COUNTIFS(案件管理!$AD$5:$AD$104,"&gt;="&amp;DATE(2027,2,1),案件管理!$AD$5:$AD$104,"&lt;"&amp;DATE(2027,3,1),案件管理!$AE$5:$AE$104,$A15,案件管理!$F$5:$F$104,"&gt;="&amp;判定基準!$B$32,案件管理!$F$5:$F$104,"&lt;="&amp;判定基準!$B$33,案件管理!$G$5:$G$104,"&lt;="&amp;判定基準!$B$34,案件管理!$D$5:$D$104,"&lt;&gt;"&amp;判定基準!$B$35)</f>
        <v/>
      </c>
      <c r="X15" s="37">
        <f>COUNTIFS(案件管理!$AD$5:$AD$104,"&gt;="&amp;DATE(2027,3,1),案件管理!$AD$5:$AD$104,"&lt;"&amp;DATE(2027,4,1),案件管理!$AE$5:$AE$104,$A15)</f>
        <v/>
      </c>
      <c r="Y15" s="37">
        <f>COUNTIFS(案件管理!$AD$5:$AD$104,"&gt;="&amp;DATE(2027,3,1),案件管理!$AD$5:$AD$104,"&lt;"&amp;DATE(2027,4,1),案件管理!$AE$5:$AE$104,$A15,案件管理!$F$5:$F$104,"&gt;="&amp;判定基準!$B$32,案件管理!$F$5:$F$104,"&lt;="&amp;判定基準!$B$33,案件管理!$G$5:$G$104,"&lt;="&amp;判定基準!$B$34,案件管理!$D$5:$D$104,"&lt;&gt;"&amp;判定基準!$B$35)</f>
        <v/>
      </c>
      <c r="Z15" s="37">
        <f>COUNTIFS(案件管理!$AD$5:$AD$104,"&gt;="&amp;DATE(2027,4,1),案件管理!$AD$5:$AD$104,"&lt;"&amp;DATE(2027,5,1),案件管理!$AE$5:$AE$104,$A15)</f>
        <v/>
      </c>
      <c r="AA15" s="37">
        <f>COUNTIFS(案件管理!$AD$5:$AD$104,"&gt;="&amp;DATE(2027,4,1),案件管理!$AD$5:$AD$104,"&lt;"&amp;DATE(2027,5,1),案件管理!$AE$5:$AE$104,$A15,案件管理!$F$5:$F$104,"&gt;="&amp;判定基準!$B$32,案件管理!$F$5:$F$104,"&lt;="&amp;判定基準!$B$33,案件管理!$G$5:$G$104,"&lt;="&amp;判定基準!$B$34,案件管理!$D$5:$D$104,"&lt;&gt;"&amp;判定基準!$B$35)</f>
        <v/>
      </c>
      <c r="AB15" s="37">
        <f>COUNTIFS(案件管理!$AD$5:$AD$104,"&gt;="&amp;DATE(2027,5,1),案件管理!$AD$5:$AD$104,"&lt;"&amp;DATE(2027,6,1),案件管理!$AE$5:$AE$104,$A15)</f>
        <v/>
      </c>
      <c r="AC15" s="37">
        <f>COUNTIFS(案件管理!$AD$5:$AD$104,"&gt;="&amp;DATE(2027,5,1),案件管理!$AD$5:$AD$104,"&lt;"&amp;DATE(2027,6,1),案件管理!$AE$5:$AE$104,$A15,案件管理!$F$5:$F$104,"&gt;="&amp;判定基準!$B$32,案件管理!$F$5:$F$104,"&lt;="&amp;判定基準!$B$33,案件管理!$G$5:$G$104,"&lt;="&amp;判定基準!$B$34,案件管理!$D$5:$D$104,"&lt;&gt;"&amp;判定基準!$B$35)</f>
        <v/>
      </c>
      <c r="AD15" s="37">
        <f>COUNTIFS(案件管理!$AD$5:$AD$104,"&gt;="&amp;DATE(2027,6,1),案件管理!$AD$5:$AD$104,"&lt;"&amp;DATE(2027,7,1),案件管理!$AE$5:$AE$104,$A15)</f>
        <v/>
      </c>
      <c r="AE15" s="37">
        <f>COUNTIFS(案件管理!$AD$5:$AD$104,"&gt;="&amp;DATE(2027,6,1),案件管理!$AD$5:$AD$104,"&lt;"&amp;DATE(2027,7,1),案件管理!$AE$5:$AE$104,$A15,案件管理!$F$5:$F$104,"&gt;="&amp;判定基準!$B$32,案件管理!$F$5:$F$104,"&lt;="&amp;判定基準!$B$33,案件管理!$G$5:$G$104,"&lt;="&amp;判定基準!$B$34,案件管理!$D$5:$D$104,"&lt;&gt;"&amp;判定基準!$B$35)</f>
        <v/>
      </c>
      <c r="AF15" s="37">
        <f>COUNTIFS(案件管理!$AD$5:$AD$104,"&gt;="&amp;DATE(2027,7,1),案件管理!$AD$5:$AD$104,"&lt;"&amp;DATE(2027,8,1),案件管理!$AE$5:$AE$104,$A15)</f>
        <v/>
      </c>
      <c r="AG15" s="37">
        <f>COUNTIFS(案件管理!$AD$5:$AD$104,"&gt;="&amp;DATE(2027,7,1),案件管理!$AD$5:$AD$104,"&lt;"&amp;DATE(2027,8,1),案件管理!$AE$5:$AE$104,$A15,案件管理!$F$5:$F$104,"&gt;="&amp;判定基準!$B$32,案件管理!$F$5:$F$104,"&lt;="&amp;判定基準!$B$33,案件管理!$G$5:$G$104,"&lt;="&amp;判定基準!$B$34,案件管理!$D$5:$D$104,"&lt;&gt;"&amp;判定基準!$B$35)</f>
        <v/>
      </c>
      <c r="AH15" s="37">
        <f>COUNTIFS(案件管理!$AD$5:$AD$104,"&gt;="&amp;DATE(2027,8,1),案件管理!$AD$5:$AD$104,"&lt;"&amp;DATE(2027,9,1),案件管理!$AE$5:$AE$104,$A15)</f>
        <v/>
      </c>
      <c r="AI15" s="37">
        <f>COUNTIFS(案件管理!$AD$5:$AD$104,"&gt;="&amp;DATE(2027,8,1),案件管理!$AD$5:$AD$104,"&lt;"&amp;DATE(2027,9,1),案件管理!$AE$5:$AE$104,$A15,案件管理!$F$5:$F$104,"&gt;="&amp;判定基準!$B$32,案件管理!$F$5:$F$104,"&lt;="&amp;判定基準!$B$33,案件管理!$G$5:$G$104,"&lt;="&amp;判定基準!$B$34,案件管理!$D$5:$D$104,"&lt;&gt;"&amp;判定基準!$B$35)</f>
        <v/>
      </c>
      <c r="AJ15" s="37">
        <f>L15+N15+P15+R15+T15+V15+X15+Z15+AB15+AD15+AF15+AH15</f>
        <v/>
      </c>
      <c r="AK15" s="37">
        <f>M15+O15+Q15+S15+U15+W15+Y15+AA15+AC15+AE15+AG15+AI15</f>
        <v/>
      </c>
      <c r="AL15" s="38">
        <f>IF(AJ15=0,"",AK15/AJ15)</f>
        <v/>
      </c>
    </row>
    <row r="16">
      <c r="A16" s="23" t="inlineStr">
        <is>
          <t>株式会社NEWOLD CAPITAL</t>
        </is>
      </c>
      <c r="B16" s="17" t="n"/>
      <c r="C16" s="23" t="n"/>
      <c r="D16" s="23" t="inlineStr">
        <is>
          <t>小林</t>
        </is>
      </c>
      <c r="E16" s="22" t="n">
        <v>46269</v>
      </c>
      <c r="F16" s="23" t="n"/>
      <c r="G16" s="20" t="n"/>
      <c r="H16" s="23" t="n"/>
      <c r="I16" s="23" t="n"/>
      <c r="J16" s="23" t="n"/>
      <c r="K16" s="23" t="n"/>
      <c r="L16" s="37">
        <f>COUNTIFS(案件管理!$AD$5:$AD$104,"&gt;="&amp;DATE(2026,9,1),案件管理!$AD$5:$AD$104,"&lt;"&amp;DATE(2026,10,1),案件管理!$AE$5:$AE$104,$A16)</f>
        <v/>
      </c>
      <c r="M16" s="37">
        <f>COUNTIFS(案件管理!$AD$5:$AD$104,"&gt;="&amp;DATE(2026,9,1),案件管理!$AD$5:$AD$104,"&lt;"&amp;DATE(2026,10,1),案件管理!$AE$5:$AE$104,$A16,案件管理!$F$5:$F$104,"&gt;="&amp;判定基準!$B$32,案件管理!$F$5:$F$104,"&lt;="&amp;判定基準!$B$33,案件管理!$G$5:$G$104,"&lt;="&amp;判定基準!$B$34,案件管理!$D$5:$D$104,"&lt;&gt;"&amp;判定基準!$B$35)</f>
        <v/>
      </c>
      <c r="N16" s="37">
        <f>COUNTIFS(案件管理!$AD$5:$AD$104,"&gt;="&amp;DATE(2026,10,1),案件管理!$AD$5:$AD$104,"&lt;"&amp;DATE(2026,11,1),案件管理!$AE$5:$AE$104,$A16)</f>
        <v/>
      </c>
      <c r="O16" s="37">
        <f>COUNTIFS(案件管理!$AD$5:$AD$104,"&gt;="&amp;DATE(2026,10,1),案件管理!$AD$5:$AD$104,"&lt;"&amp;DATE(2026,11,1),案件管理!$AE$5:$AE$104,$A16,案件管理!$F$5:$F$104,"&gt;="&amp;判定基準!$B$32,案件管理!$F$5:$F$104,"&lt;="&amp;判定基準!$B$33,案件管理!$G$5:$G$104,"&lt;="&amp;判定基準!$B$34,案件管理!$D$5:$D$104,"&lt;&gt;"&amp;判定基準!$B$35)</f>
        <v/>
      </c>
      <c r="P16" s="37">
        <f>COUNTIFS(案件管理!$AD$5:$AD$104,"&gt;="&amp;DATE(2026,11,1),案件管理!$AD$5:$AD$104,"&lt;"&amp;DATE(2026,12,1),案件管理!$AE$5:$AE$104,$A16)</f>
        <v/>
      </c>
      <c r="Q16" s="37">
        <f>COUNTIFS(案件管理!$AD$5:$AD$104,"&gt;="&amp;DATE(2026,11,1),案件管理!$AD$5:$AD$104,"&lt;"&amp;DATE(2026,12,1),案件管理!$AE$5:$AE$104,$A16,案件管理!$F$5:$F$104,"&gt;="&amp;判定基準!$B$32,案件管理!$F$5:$F$104,"&lt;="&amp;判定基準!$B$33,案件管理!$G$5:$G$104,"&lt;="&amp;判定基準!$B$34,案件管理!$D$5:$D$104,"&lt;&gt;"&amp;判定基準!$B$35)</f>
        <v/>
      </c>
      <c r="R16" s="37">
        <f>COUNTIFS(案件管理!$AD$5:$AD$104,"&gt;="&amp;DATE(2026,12,1),案件管理!$AD$5:$AD$104,"&lt;"&amp;DATE(2027,1,1),案件管理!$AE$5:$AE$104,$A16)</f>
        <v/>
      </c>
      <c r="S16" s="37">
        <f>COUNTIFS(案件管理!$AD$5:$AD$104,"&gt;="&amp;DATE(2026,12,1),案件管理!$AD$5:$AD$104,"&lt;"&amp;DATE(2027,1,1),案件管理!$AE$5:$AE$104,$A16,案件管理!$F$5:$F$104,"&gt;="&amp;判定基準!$B$32,案件管理!$F$5:$F$104,"&lt;="&amp;判定基準!$B$33,案件管理!$G$5:$G$104,"&lt;="&amp;判定基準!$B$34,案件管理!$D$5:$D$104,"&lt;&gt;"&amp;判定基準!$B$35)</f>
        <v/>
      </c>
      <c r="T16" s="37">
        <f>COUNTIFS(案件管理!$AD$5:$AD$104,"&gt;="&amp;DATE(2027,1,1),案件管理!$AD$5:$AD$104,"&lt;"&amp;DATE(2027,2,1),案件管理!$AE$5:$AE$104,$A16)</f>
        <v/>
      </c>
      <c r="U16" s="37">
        <f>COUNTIFS(案件管理!$AD$5:$AD$104,"&gt;="&amp;DATE(2027,1,1),案件管理!$AD$5:$AD$104,"&lt;"&amp;DATE(2027,2,1),案件管理!$AE$5:$AE$104,$A16,案件管理!$F$5:$F$104,"&gt;="&amp;判定基準!$B$32,案件管理!$F$5:$F$104,"&lt;="&amp;判定基準!$B$33,案件管理!$G$5:$G$104,"&lt;="&amp;判定基準!$B$34,案件管理!$D$5:$D$104,"&lt;&gt;"&amp;判定基準!$B$35)</f>
        <v/>
      </c>
      <c r="V16" s="37">
        <f>COUNTIFS(案件管理!$AD$5:$AD$104,"&gt;="&amp;DATE(2027,2,1),案件管理!$AD$5:$AD$104,"&lt;"&amp;DATE(2027,3,1),案件管理!$AE$5:$AE$104,$A16)</f>
        <v/>
      </c>
      <c r="W16" s="37">
        <f>COUNTIFS(案件管理!$AD$5:$AD$104,"&gt;="&amp;DATE(2027,2,1),案件管理!$AD$5:$AD$104,"&lt;"&amp;DATE(2027,3,1),案件管理!$AE$5:$AE$104,$A16,案件管理!$F$5:$F$104,"&gt;="&amp;判定基準!$B$32,案件管理!$F$5:$F$104,"&lt;="&amp;判定基準!$B$33,案件管理!$G$5:$G$104,"&lt;="&amp;判定基準!$B$34,案件管理!$D$5:$D$104,"&lt;&gt;"&amp;判定基準!$B$35)</f>
        <v/>
      </c>
      <c r="X16" s="37">
        <f>COUNTIFS(案件管理!$AD$5:$AD$104,"&gt;="&amp;DATE(2027,3,1),案件管理!$AD$5:$AD$104,"&lt;"&amp;DATE(2027,4,1),案件管理!$AE$5:$AE$104,$A16)</f>
        <v/>
      </c>
      <c r="Y16" s="37">
        <f>COUNTIFS(案件管理!$AD$5:$AD$104,"&gt;="&amp;DATE(2027,3,1),案件管理!$AD$5:$AD$104,"&lt;"&amp;DATE(2027,4,1),案件管理!$AE$5:$AE$104,$A16,案件管理!$F$5:$F$104,"&gt;="&amp;判定基準!$B$32,案件管理!$F$5:$F$104,"&lt;="&amp;判定基準!$B$33,案件管理!$G$5:$G$104,"&lt;="&amp;判定基準!$B$34,案件管理!$D$5:$D$104,"&lt;&gt;"&amp;判定基準!$B$35)</f>
        <v/>
      </c>
      <c r="Z16" s="37">
        <f>COUNTIFS(案件管理!$AD$5:$AD$104,"&gt;="&amp;DATE(2027,4,1),案件管理!$AD$5:$AD$104,"&lt;"&amp;DATE(2027,5,1),案件管理!$AE$5:$AE$104,$A16)</f>
        <v/>
      </c>
      <c r="AA16" s="37">
        <f>COUNTIFS(案件管理!$AD$5:$AD$104,"&gt;="&amp;DATE(2027,4,1),案件管理!$AD$5:$AD$104,"&lt;"&amp;DATE(2027,5,1),案件管理!$AE$5:$AE$104,$A16,案件管理!$F$5:$F$104,"&gt;="&amp;判定基準!$B$32,案件管理!$F$5:$F$104,"&lt;="&amp;判定基準!$B$33,案件管理!$G$5:$G$104,"&lt;="&amp;判定基準!$B$34,案件管理!$D$5:$D$104,"&lt;&gt;"&amp;判定基準!$B$35)</f>
        <v/>
      </c>
      <c r="AB16" s="37">
        <f>COUNTIFS(案件管理!$AD$5:$AD$104,"&gt;="&amp;DATE(2027,5,1),案件管理!$AD$5:$AD$104,"&lt;"&amp;DATE(2027,6,1),案件管理!$AE$5:$AE$104,$A16)</f>
        <v/>
      </c>
      <c r="AC16" s="37">
        <f>COUNTIFS(案件管理!$AD$5:$AD$104,"&gt;="&amp;DATE(2027,5,1),案件管理!$AD$5:$AD$104,"&lt;"&amp;DATE(2027,6,1),案件管理!$AE$5:$AE$104,$A16,案件管理!$F$5:$F$104,"&gt;="&amp;判定基準!$B$32,案件管理!$F$5:$F$104,"&lt;="&amp;判定基準!$B$33,案件管理!$G$5:$G$104,"&lt;="&amp;判定基準!$B$34,案件管理!$D$5:$D$104,"&lt;&gt;"&amp;判定基準!$B$35)</f>
        <v/>
      </c>
      <c r="AD16" s="37">
        <f>COUNTIFS(案件管理!$AD$5:$AD$104,"&gt;="&amp;DATE(2027,6,1),案件管理!$AD$5:$AD$104,"&lt;"&amp;DATE(2027,7,1),案件管理!$AE$5:$AE$104,$A16)</f>
        <v/>
      </c>
      <c r="AE16" s="37">
        <f>COUNTIFS(案件管理!$AD$5:$AD$104,"&gt;="&amp;DATE(2027,6,1),案件管理!$AD$5:$AD$104,"&lt;"&amp;DATE(2027,7,1),案件管理!$AE$5:$AE$104,$A16,案件管理!$F$5:$F$104,"&gt;="&amp;判定基準!$B$32,案件管理!$F$5:$F$104,"&lt;="&amp;判定基準!$B$33,案件管理!$G$5:$G$104,"&lt;="&amp;判定基準!$B$34,案件管理!$D$5:$D$104,"&lt;&gt;"&amp;判定基準!$B$35)</f>
        <v/>
      </c>
      <c r="AF16" s="37">
        <f>COUNTIFS(案件管理!$AD$5:$AD$104,"&gt;="&amp;DATE(2027,7,1),案件管理!$AD$5:$AD$104,"&lt;"&amp;DATE(2027,8,1),案件管理!$AE$5:$AE$104,$A16)</f>
        <v/>
      </c>
      <c r="AG16" s="37">
        <f>COUNTIFS(案件管理!$AD$5:$AD$104,"&gt;="&amp;DATE(2027,7,1),案件管理!$AD$5:$AD$104,"&lt;"&amp;DATE(2027,8,1),案件管理!$AE$5:$AE$104,$A16,案件管理!$F$5:$F$104,"&gt;="&amp;判定基準!$B$32,案件管理!$F$5:$F$104,"&lt;="&amp;判定基準!$B$33,案件管理!$G$5:$G$104,"&lt;="&amp;判定基準!$B$34,案件管理!$D$5:$D$104,"&lt;&gt;"&amp;判定基準!$B$35)</f>
        <v/>
      </c>
      <c r="AH16" s="37">
        <f>COUNTIFS(案件管理!$AD$5:$AD$104,"&gt;="&amp;DATE(2027,8,1),案件管理!$AD$5:$AD$104,"&lt;"&amp;DATE(2027,9,1),案件管理!$AE$5:$AE$104,$A16)</f>
        <v/>
      </c>
      <c r="AI16" s="37">
        <f>COUNTIFS(案件管理!$AD$5:$AD$104,"&gt;="&amp;DATE(2027,8,1),案件管理!$AD$5:$AD$104,"&lt;"&amp;DATE(2027,9,1),案件管理!$AE$5:$AE$104,$A16,案件管理!$F$5:$F$104,"&gt;="&amp;判定基準!$B$32,案件管理!$F$5:$F$104,"&lt;="&amp;判定基準!$B$33,案件管理!$G$5:$G$104,"&lt;="&amp;判定基準!$B$34,案件管理!$D$5:$D$104,"&lt;&gt;"&amp;判定基準!$B$35)</f>
        <v/>
      </c>
      <c r="AJ16" s="37">
        <f>L16+N16+P16+R16+T16+V16+X16+Z16+AB16+AD16+AF16+AH16</f>
        <v/>
      </c>
      <c r="AK16" s="37">
        <f>M16+O16+Q16+S16+U16+W16+Y16+AA16+AC16+AE16+AG16+AI16</f>
        <v/>
      </c>
      <c r="AL16" s="38">
        <f>IF(AJ16=0,"",AK16/AJ16)</f>
        <v/>
      </c>
    </row>
    <row r="17">
      <c r="A17" s="23" t="inlineStr">
        <is>
          <t>株式会社リンクタイズワークス</t>
        </is>
      </c>
      <c r="B17" s="17" t="n"/>
      <c r="C17" s="23" t="inlineStr">
        <is>
          <t>B</t>
        </is>
      </c>
      <c r="D17" s="23" t="inlineStr">
        <is>
          <t>笹川</t>
        </is>
      </c>
      <c r="E17" s="22" t="n">
        <v>46266</v>
      </c>
      <c r="F17" s="22" t="n">
        <v>46283</v>
      </c>
      <c r="G17" s="20" t="n"/>
      <c r="H17" s="23" t="n"/>
      <c r="I17" s="23" t="n"/>
      <c r="J17" s="23" t="n"/>
      <c r="K17" s="23" t="n"/>
      <c r="L17" s="37">
        <f>COUNTIFS(案件管理!$AD$5:$AD$104,"&gt;="&amp;DATE(2026,9,1),案件管理!$AD$5:$AD$104,"&lt;"&amp;DATE(2026,10,1),案件管理!$AE$5:$AE$104,$A17)</f>
        <v/>
      </c>
      <c r="M17" s="37">
        <f>COUNTIFS(案件管理!$AD$5:$AD$104,"&gt;="&amp;DATE(2026,9,1),案件管理!$AD$5:$AD$104,"&lt;"&amp;DATE(2026,10,1),案件管理!$AE$5:$AE$104,$A17,案件管理!$F$5:$F$104,"&gt;="&amp;判定基準!$B$32,案件管理!$F$5:$F$104,"&lt;="&amp;判定基準!$B$33,案件管理!$G$5:$G$104,"&lt;="&amp;判定基準!$B$34,案件管理!$D$5:$D$104,"&lt;&gt;"&amp;判定基準!$B$35)</f>
        <v/>
      </c>
      <c r="N17" s="37">
        <f>COUNTIFS(案件管理!$AD$5:$AD$104,"&gt;="&amp;DATE(2026,10,1),案件管理!$AD$5:$AD$104,"&lt;"&amp;DATE(2026,11,1),案件管理!$AE$5:$AE$104,$A17)</f>
        <v/>
      </c>
      <c r="O17" s="37">
        <f>COUNTIFS(案件管理!$AD$5:$AD$104,"&gt;="&amp;DATE(2026,10,1),案件管理!$AD$5:$AD$104,"&lt;"&amp;DATE(2026,11,1),案件管理!$AE$5:$AE$104,$A17,案件管理!$F$5:$F$104,"&gt;="&amp;判定基準!$B$32,案件管理!$F$5:$F$104,"&lt;="&amp;判定基準!$B$33,案件管理!$G$5:$G$104,"&lt;="&amp;判定基準!$B$34,案件管理!$D$5:$D$104,"&lt;&gt;"&amp;判定基準!$B$35)</f>
        <v/>
      </c>
      <c r="P17" s="37">
        <f>COUNTIFS(案件管理!$AD$5:$AD$104,"&gt;="&amp;DATE(2026,11,1),案件管理!$AD$5:$AD$104,"&lt;"&amp;DATE(2026,12,1),案件管理!$AE$5:$AE$104,$A17)</f>
        <v/>
      </c>
      <c r="Q17" s="37">
        <f>COUNTIFS(案件管理!$AD$5:$AD$104,"&gt;="&amp;DATE(2026,11,1),案件管理!$AD$5:$AD$104,"&lt;"&amp;DATE(2026,12,1),案件管理!$AE$5:$AE$104,$A17,案件管理!$F$5:$F$104,"&gt;="&amp;判定基準!$B$32,案件管理!$F$5:$F$104,"&lt;="&amp;判定基準!$B$33,案件管理!$G$5:$G$104,"&lt;="&amp;判定基準!$B$34,案件管理!$D$5:$D$104,"&lt;&gt;"&amp;判定基準!$B$35)</f>
        <v/>
      </c>
      <c r="R17" s="37">
        <f>COUNTIFS(案件管理!$AD$5:$AD$104,"&gt;="&amp;DATE(2026,12,1),案件管理!$AD$5:$AD$104,"&lt;"&amp;DATE(2027,1,1),案件管理!$AE$5:$AE$104,$A17)</f>
        <v/>
      </c>
      <c r="S17" s="37">
        <f>COUNTIFS(案件管理!$AD$5:$AD$104,"&gt;="&amp;DATE(2026,12,1),案件管理!$AD$5:$AD$104,"&lt;"&amp;DATE(2027,1,1),案件管理!$AE$5:$AE$104,$A17,案件管理!$F$5:$F$104,"&gt;="&amp;判定基準!$B$32,案件管理!$F$5:$F$104,"&lt;="&amp;判定基準!$B$33,案件管理!$G$5:$G$104,"&lt;="&amp;判定基準!$B$34,案件管理!$D$5:$D$104,"&lt;&gt;"&amp;判定基準!$B$35)</f>
        <v/>
      </c>
      <c r="T17" s="37">
        <f>COUNTIFS(案件管理!$AD$5:$AD$104,"&gt;="&amp;DATE(2027,1,1),案件管理!$AD$5:$AD$104,"&lt;"&amp;DATE(2027,2,1),案件管理!$AE$5:$AE$104,$A17)</f>
        <v/>
      </c>
      <c r="U17" s="37">
        <f>COUNTIFS(案件管理!$AD$5:$AD$104,"&gt;="&amp;DATE(2027,1,1),案件管理!$AD$5:$AD$104,"&lt;"&amp;DATE(2027,2,1),案件管理!$AE$5:$AE$104,$A17,案件管理!$F$5:$F$104,"&gt;="&amp;判定基準!$B$32,案件管理!$F$5:$F$104,"&lt;="&amp;判定基準!$B$33,案件管理!$G$5:$G$104,"&lt;="&amp;判定基準!$B$34,案件管理!$D$5:$D$104,"&lt;&gt;"&amp;判定基準!$B$35)</f>
        <v/>
      </c>
      <c r="V17" s="37">
        <f>COUNTIFS(案件管理!$AD$5:$AD$104,"&gt;="&amp;DATE(2027,2,1),案件管理!$AD$5:$AD$104,"&lt;"&amp;DATE(2027,3,1),案件管理!$AE$5:$AE$104,$A17)</f>
        <v/>
      </c>
      <c r="W17" s="37">
        <f>COUNTIFS(案件管理!$AD$5:$AD$104,"&gt;="&amp;DATE(2027,2,1),案件管理!$AD$5:$AD$104,"&lt;"&amp;DATE(2027,3,1),案件管理!$AE$5:$AE$104,$A17,案件管理!$F$5:$F$104,"&gt;="&amp;判定基準!$B$32,案件管理!$F$5:$F$104,"&lt;="&amp;判定基準!$B$33,案件管理!$G$5:$G$104,"&lt;="&amp;判定基準!$B$34,案件管理!$D$5:$D$104,"&lt;&gt;"&amp;判定基準!$B$35)</f>
        <v/>
      </c>
      <c r="X17" s="37">
        <f>COUNTIFS(案件管理!$AD$5:$AD$104,"&gt;="&amp;DATE(2027,3,1),案件管理!$AD$5:$AD$104,"&lt;"&amp;DATE(2027,4,1),案件管理!$AE$5:$AE$104,$A17)</f>
        <v/>
      </c>
      <c r="Y17" s="37">
        <f>COUNTIFS(案件管理!$AD$5:$AD$104,"&gt;="&amp;DATE(2027,3,1),案件管理!$AD$5:$AD$104,"&lt;"&amp;DATE(2027,4,1),案件管理!$AE$5:$AE$104,$A17,案件管理!$F$5:$F$104,"&gt;="&amp;判定基準!$B$32,案件管理!$F$5:$F$104,"&lt;="&amp;判定基準!$B$33,案件管理!$G$5:$G$104,"&lt;="&amp;判定基準!$B$34,案件管理!$D$5:$D$104,"&lt;&gt;"&amp;判定基準!$B$35)</f>
        <v/>
      </c>
      <c r="Z17" s="37">
        <f>COUNTIFS(案件管理!$AD$5:$AD$104,"&gt;="&amp;DATE(2027,4,1),案件管理!$AD$5:$AD$104,"&lt;"&amp;DATE(2027,5,1),案件管理!$AE$5:$AE$104,$A17)</f>
        <v/>
      </c>
      <c r="AA17" s="37">
        <f>COUNTIFS(案件管理!$AD$5:$AD$104,"&gt;="&amp;DATE(2027,4,1),案件管理!$AD$5:$AD$104,"&lt;"&amp;DATE(2027,5,1),案件管理!$AE$5:$AE$104,$A17,案件管理!$F$5:$F$104,"&gt;="&amp;判定基準!$B$32,案件管理!$F$5:$F$104,"&lt;="&amp;判定基準!$B$33,案件管理!$G$5:$G$104,"&lt;="&amp;判定基準!$B$34,案件管理!$D$5:$D$104,"&lt;&gt;"&amp;判定基準!$B$35)</f>
        <v/>
      </c>
      <c r="AB17" s="37">
        <f>COUNTIFS(案件管理!$AD$5:$AD$104,"&gt;="&amp;DATE(2027,5,1),案件管理!$AD$5:$AD$104,"&lt;"&amp;DATE(2027,6,1),案件管理!$AE$5:$AE$104,$A17)</f>
        <v/>
      </c>
      <c r="AC17" s="37">
        <f>COUNTIFS(案件管理!$AD$5:$AD$104,"&gt;="&amp;DATE(2027,5,1),案件管理!$AD$5:$AD$104,"&lt;"&amp;DATE(2027,6,1),案件管理!$AE$5:$AE$104,$A17,案件管理!$F$5:$F$104,"&gt;="&amp;判定基準!$B$32,案件管理!$F$5:$F$104,"&lt;="&amp;判定基準!$B$33,案件管理!$G$5:$G$104,"&lt;="&amp;判定基準!$B$34,案件管理!$D$5:$D$104,"&lt;&gt;"&amp;判定基準!$B$35)</f>
        <v/>
      </c>
      <c r="AD17" s="37">
        <f>COUNTIFS(案件管理!$AD$5:$AD$104,"&gt;="&amp;DATE(2027,6,1),案件管理!$AD$5:$AD$104,"&lt;"&amp;DATE(2027,7,1),案件管理!$AE$5:$AE$104,$A17)</f>
        <v/>
      </c>
      <c r="AE17" s="37">
        <f>COUNTIFS(案件管理!$AD$5:$AD$104,"&gt;="&amp;DATE(2027,6,1),案件管理!$AD$5:$AD$104,"&lt;"&amp;DATE(2027,7,1),案件管理!$AE$5:$AE$104,$A17,案件管理!$F$5:$F$104,"&gt;="&amp;判定基準!$B$32,案件管理!$F$5:$F$104,"&lt;="&amp;判定基準!$B$33,案件管理!$G$5:$G$104,"&lt;="&amp;判定基準!$B$34,案件管理!$D$5:$D$104,"&lt;&gt;"&amp;判定基準!$B$35)</f>
        <v/>
      </c>
      <c r="AF17" s="37">
        <f>COUNTIFS(案件管理!$AD$5:$AD$104,"&gt;="&amp;DATE(2027,7,1),案件管理!$AD$5:$AD$104,"&lt;"&amp;DATE(2027,8,1),案件管理!$AE$5:$AE$104,$A17)</f>
        <v/>
      </c>
      <c r="AG17" s="37">
        <f>COUNTIFS(案件管理!$AD$5:$AD$104,"&gt;="&amp;DATE(2027,7,1),案件管理!$AD$5:$AD$104,"&lt;"&amp;DATE(2027,8,1),案件管理!$AE$5:$AE$104,$A17,案件管理!$F$5:$F$104,"&gt;="&amp;判定基準!$B$32,案件管理!$F$5:$F$104,"&lt;="&amp;判定基準!$B$33,案件管理!$G$5:$G$104,"&lt;="&amp;判定基準!$B$34,案件管理!$D$5:$D$104,"&lt;&gt;"&amp;判定基準!$B$35)</f>
        <v/>
      </c>
      <c r="AH17" s="37">
        <f>COUNTIFS(案件管理!$AD$5:$AD$104,"&gt;="&amp;DATE(2027,8,1),案件管理!$AD$5:$AD$104,"&lt;"&amp;DATE(2027,9,1),案件管理!$AE$5:$AE$104,$A17)</f>
        <v/>
      </c>
      <c r="AI17" s="37">
        <f>COUNTIFS(案件管理!$AD$5:$AD$104,"&gt;="&amp;DATE(2027,8,1),案件管理!$AD$5:$AD$104,"&lt;"&amp;DATE(2027,9,1),案件管理!$AE$5:$AE$104,$A17,案件管理!$F$5:$F$104,"&gt;="&amp;判定基準!$B$32,案件管理!$F$5:$F$104,"&lt;="&amp;判定基準!$B$33,案件管理!$G$5:$G$104,"&lt;="&amp;判定基準!$B$34,案件管理!$D$5:$D$104,"&lt;&gt;"&amp;判定基準!$B$35)</f>
        <v/>
      </c>
      <c r="AJ17" s="37">
        <f>L17+N17+P17+R17+T17+V17+X17+Z17+AB17+AD17+AF17+AH17</f>
        <v/>
      </c>
      <c r="AK17" s="37">
        <f>M17+O17+Q17+S17+U17+W17+Y17+AA17+AC17+AE17+AG17+AI17</f>
        <v/>
      </c>
      <c r="AL17" s="38">
        <f>IF(AJ17=0,"",AK17/AJ17)</f>
        <v/>
      </c>
    </row>
    <row r="18">
      <c r="A18" s="23" t="inlineStr">
        <is>
          <t>株式会社M&amp;Aサクシード</t>
        </is>
      </c>
      <c r="B18" s="17" t="n"/>
      <c r="C18" s="23" t="inlineStr">
        <is>
          <t>C</t>
        </is>
      </c>
      <c r="D18" s="23" t="inlineStr">
        <is>
          <t>井上</t>
        </is>
      </c>
      <c r="E18" s="22" t="n">
        <v>46269</v>
      </c>
      <c r="F18" s="23" t="n"/>
      <c r="G18" s="20" t="n"/>
      <c r="H18" s="23" t="n"/>
      <c r="I18" s="23" t="n"/>
      <c r="J18" s="23" t="n"/>
      <c r="K18" s="23" t="n"/>
      <c r="L18" s="37">
        <f>COUNTIFS(案件管理!$AD$5:$AD$104,"&gt;="&amp;DATE(2026,9,1),案件管理!$AD$5:$AD$104,"&lt;"&amp;DATE(2026,10,1),案件管理!$AE$5:$AE$104,$A18)</f>
        <v/>
      </c>
      <c r="M18" s="37">
        <f>COUNTIFS(案件管理!$AD$5:$AD$104,"&gt;="&amp;DATE(2026,9,1),案件管理!$AD$5:$AD$104,"&lt;"&amp;DATE(2026,10,1),案件管理!$AE$5:$AE$104,$A18,案件管理!$F$5:$F$104,"&gt;="&amp;判定基準!$B$32,案件管理!$F$5:$F$104,"&lt;="&amp;判定基準!$B$33,案件管理!$G$5:$G$104,"&lt;="&amp;判定基準!$B$34,案件管理!$D$5:$D$104,"&lt;&gt;"&amp;判定基準!$B$35)</f>
        <v/>
      </c>
      <c r="N18" s="37">
        <f>COUNTIFS(案件管理!$AD$5:$AD$104,"&gt;="&amp;DATE(2026,10,1),案件管理!$AD$5:$AD$104,"&lt;"&amp;DATE(2026,11,1),案件管理!$AE$5:$AE$104,$A18)</f>
        <v/>
      </c>
      <c r="O18" s="37">
        <f>COUNTIFS(案件管理!$AD$5:$AD$104,"&gt;="&amp;DATE(2026,10,1),案件管理!$AD$5:$AD$104,"&lt;"&amp;DATE(2026,11,1),案件管理!$AE$5:$AE$104,$A18,案件管理!$F$5:$F$104,"&gt;="&amp;判定基準!$B$32,案件管理!$F$5:$F$104,"&lt;="&amp;判定基準!$B$33,案件管理!$G$5:$G$104,"&lt;="&amp;判定基準!$B$34,案件管理!$D$5:$D$104,"&lt;&gt;"&amp;判定基準!$B$35)</f>
        <v/>
      </c>
      <c r="P18" s="37">
        <f>COUNTIFS(案件管理!$AD$5:$AD$104,"&gt;="&amp;DATE(2026,11,1),案件管理!$AD$5:$AD$104,"&lt;"&amp;DATE(2026,12,1),案件管理!$AE$5:$AE$104,$A18)</f>
        <v/>
      </c>
      <c r="Q18" s="37">
        <f>COUNTIFS(案件管理!$AD$5:$AD$104,"&gt;="&amp;DATE(2026,11,1),案件管理!$AD$5:$AD$104,"&lt;"&amp;DATE(2026,12,1),案件管理!$AE$5:$AE$104,$A18,案件管理!$F$5:$F$104,"&gt;="&amp;判定基準!$B$32,案件管理!$F$5:$F$104,"&lt;="&amp;判定基準!$B$33,案件管理!$G$5:$G$104,"&lt;="&amp;判定基準!$B$34,案件管理!$D$5:$D$104,"&lt;&gt;"&amp;判定基準!$B$35)</f>
        <v/>
      </c>
      <c r="R18" s="37">
        <f>COUNTIFS(案件管理!$AD$5:$AD$104,"&gt;="&amp;DATE(2026,12,1),案件管理!$AD$5:$AD$104,"&lt;"&amp;DATE(2027,1,1),案件管理!$AE$5:$AE$104,$A18)</f>
        <v/>
      </c>
      <c r="S18" s="37">
        <f>COUNTIFS(案件管理!$AD$5:$AD$104,"&gt;="&amp;DATE(2026,12,1),案件管理!$AD$5:$AD$104,"&lt;"&amp;DATE(2027,1,1),案件管理!$AE$5:$AE$104,$A18,案件管理!$F$5:$F$104,"&gt;="&amp;判定基準!$B$32,案件管理!$F$5:$F$104,"&lt;="&amp;判定基準!$B$33,案件管理!$G$5:$G$104,"&lt;="&amp;判定基準!$B$34,案件管理!$D$5:$D$104,"&lt;&gt;"&amp;判定基準!$B$35)</f>
        <v/>
      </c>
      <c r="T18" s="37">
        <f>COUNTIFS(案件管理!$AD$5:$AD$104,"&gt;="&amp;DATE(2027,1,1),案件管理!$AD$5:$AD$104,"&lt;"&amp;DATE(2027,2,1),案件管理!$AE$5:$AE$104,$A18)</f>
        <v/>
      </c>
      <c r="U18" s="37">
        <f>COUNTIFS(案件管理!$AD$5:$AD$104,"&gt;="&amp;DATE(2027,1,1),案件管理!$AD$5:$AD$104,"&lt;"&amp;DATE(2027,2,1),案件管理!$AE$5:$AE$104,$A18,案件管理!$F$5:$F$104,"&gt;="&amp;判定基準!$B$32,案件管理!$F$5:$F$104,"&lt;="&amp;判定基準!$B$33,案件管理!$G$5:$G$104,"&lt;="&amp;判定基準!$B$34,案件管理!$D$5:$D$104,"&lt;&gt;"&amp;判定基準!$B$35)</f>
        <v/>
      </c>
      <c r="V18" s="37">
        <f>COUNTIFS(案件管理!$AD$5:$AD$104,"&gt;="&amp;DATE(2027,2,1),案件管理!$AD$5:$AD$104,"&lt;"&amp;DATE(2027,3,1),案件管理!$AE$5:$AE$104,$A18)</f>
        <v/>
      </c>
      <c r="W18" s="37">
        <f>COUNTIFS(案件管理!$AD$5:$AD$104,"&gt;="&amp;DATE(2027,2,1),案件管理!$AD$5:$AD$104,"&lt;"&amp;DATE(2027,3,1),案件管理!$AE$5:$AE$104,$A18,案件管理!$F$5:$F$104,"&gt;="&amp;判定基準!$B$32,案件管理!$F$5:$F$104,"&lt;="&amp;判定基準!$B$33,案件管理!$G$5:$G$104,"&lt;="&amp;判定基準!$B$34,案件管理!$D$5:$D$104,"&lt;&gt;"&amp;判定基準!$B$35)</f>
        <v/>
      </c>
      <c r="X18" s="37">
        <f>COUNTIFS(案件管理!$AD$5:$AD$104,"&gt;="&amp;DATE(2027,3,1),案件管理!$AD$5:$AD$104,"&lt;"&amp;DATE(2027,4,1),案件管理!$AE$5:$AE$104,$A18)</f>
        <v/>
      </c>
      <c r="Y18" s="37">
        <f>COUNTIFS(案件管理!$AD$5:$AD$104,"&gt;="&amp;DATE(2027,3,1),案件管理!$AD$5:$AD$104,"&lt;"&amp;DATE(2027,4,1),案件管理!$AE$5:$AE$104,$A18,案件管理!$F$5:$F$104,"&gt;="&amp;判定基準!$B$32,案件管理!$F$5:$F$104,"&lt;="&amp;判定基準!$B$33,案件管理!$G$5:$G$104,"&lt;="&amp;判定基準!$B$34,案件管理!$D$5:$D$104,"&lt;&gt;"&amp;判定基準!$B$35)</f>
        <v/>
      </c>
      <c r="Z18" s="37">
        <f>COUNTIFS(案件管理!$AD$5:$AD$104,"&gt;="&amp;DATE(2027,4,1),案件管理!$AD$5:$AD$104,"&lt;"&amp;DATE(2027,5,1),案件管理!$AE$5:$AE$104,$A18)</f>
        <v/>
      </c>
      <c r="AA18" s="37">
        <f>COUNTIFS(案件管理!$AD$5:$AD$104,"&gt;="&amp;DATE(2027,4,1),案件管理!$AD$5:$AD$104,"&lt;"&amp;DATE(2027,5,1),案件管理!$AE$5:$AE$104,$A18,案件管理!$F$5:$F$104,"&gt;="&amp;判定基準!$B$32,案件管理!$F$5:$F$104,"&lt;="&amp;判定基準!$B$33,案件管理!$G$5:$G$104,"&lt;="&amp;判定基準!$B$34,案件管理!$D$5:$D$104,"&lt;&gt;"&amp;判定基準!$B$35)</f>
        <v/>
      </c>
      <c r="AB18" s="37">
        <f>COUNTIFS(案件管理!$AD$5:$AD$104,"&gt;="&amp;DATE(2027,5,1),案件管理!$AD$5:$AD$104,"&lt;"&amp;DATE(2027,6,1),案件管理!$AE$5:$AE$104,$A18)</f>
        <v/>
      </c>
      <c r="AC18" s="37">
        <f>COUNTIFS(案件管理!$AD$5:$AD$104,"&gt;="&amp;DATE(2027,5,1),案件管理!$AD$5:$AD$104,"&lt;"&amp;DATE(2027,6,1),案件管理!$AE$5:$AE$104,$A18,案件管理!$F$5:$F$104,"&gt;="&amp;判定基準!$B$32,案件管理!$F$5:$F$104,"&lt;="&amp;判定基準!$B$33,案件管理!$G$5:$G$104,"&lt;="&amp;判定基準!$B$34,案件管理!$D$5:$D$104,"&lt;&gt;"&amp;判定基準!$B$35)</f>
        <v/>
      </c>
      <c r="AD18" s="37">
        <f>COUNTIFS(案件管理!$AD$5:$AD$104,"&gt;="&amp;DATE(2027,6,1),案件管理!$AD$5:$AD$104,"&lt;"&amp;DATE(2027,7,1),案件管理!$AE$5:$AE$104,$A18)</f>
        <v/>
      </c>
      <c r="AE18" s="37">
        <f>COUNTIFS(案件管理!$AD$5:$AD$104,"&gt;="&amp;DATE(2027,6,1),案件管理!$AD$5:$AD$104,"&lt;"&amp;DATE(2027,7,1),案件管理!$AE$5:$AE$104,$A18,案件管理!$F$5:$F$104,"&gt;="&amp;判定基準!$B$32,案件管理!$F$5:$F$104,"&lt;="&amp;判定基準!$B$33,案件管理!$G$5:$G$104,"&lt;="&amp;判定基準!$B$34,案件管理!$D$5:$D$104,"&lt;&gt;"&amp;判定基準!$B$35)</f>
        <v/>
      </c>
      <c r="AF18" s="37">
        <f>COUNTIFS(案件管理!$AD$5:$AD$104,"&gt;="&amp;DATE(2027,7,1),案件管理!$AD$5:$AD$104,"&lt;"&amp;DATE(2027,8,1),案件管理!$AE$5:$AE$104,$A18)</f>
        <v/>
      </c>
      <c r="AG18" s="37">
        <f>COUNTIFS(案件管理!$AD$5:$AD$104,"&gt;="&amp;DATE(2027,7,1),案件管理!$AD$5:$AD$104,"&lt;"&amp;DATE(2027,8,1),案件管理!$AE$5:$AE$104,$A18,案件管理!$F$5:$F$104,"&gt;="&amp;判定基準!$B$32,案件管理!$F$5:$F$104,"&lt;="&amp;判定基準!$B$33,案件管理!$G$5:$G$104,"&lt;="&amp;判定基準!$B$34,案件管理!$D$5:$D$104,"&lt;&gt;"&amp;判定基準!$B$35)</f>
        <v/>
      </c>
      <c r="AH18" s="37">
        <f>COUNTIFS(案件管理!$AD$5:$AD$104,"&gt;="&amp;DATE(2027,8,1),案件管理!$AD$5:$AD$104,"&lt;"&amp;DATE(2027,9,1),案件管理!$AE$5:$AE$104,$A18)</f>
        <v/>
      </c>
      <c r="AI18" s="37">
        <f>COUNTIFS(案件管理!$AD$5:$AD$104,"&gt;="&amp;DATE(2027,8,1),案件管理!$AD$5:$AD$104,"&lt;"&amp;DATE(2027,9,1),案件管理!$AE$5:$AE$104,$A18,案件管理!$F$5:$F$104,"&gt;="&amp;判定基準!$B$32,案件管理!$F$5:$F$104,"&lt;="&amp;判定基準!$B$33,案件管理!$G$5:$G$104,"&lt;="&amp;判定基準!$B$34,案件管理!$D$5:$D$104,"&lt;&gt;"&amp;判定基準!$B$35)</f>
        <v/>
      </c>
      <c r="AJ18" s="37">
        <f>L18+N18+P18+R18+T18+V18+X18+Z18+AB18+AD18+AF18+AH18</f>
        <v/>
      </c>
      <c r="AK18" s="37">
        <f>M18+O18+Q18+S18+U18+W18+Y18+AA18+AC18+AE18+AG18+AI18</f>
        <v/>
      </c>
      <c r="AL18" s="38">
        <f>IF(AJ18=0,"",AK18/AJ18)</f>
        <v/>
      </c>
    </row>
    <row r="19">
      <c r="A19" s="23" t="inlineStr">
        <is>
          <t>株式会社スピカコンサルティング</t>
        </is>
      </c>
      <c r="B19" s="17" t="n"/>
      <c r="C19" s="23" t="inlineStr">
        <is>
          <t>B</t>
        </is>
      </c>
      <c r="D19" s="23" t="inlineStr">
        <is>
          <t>石川</t>
        </is>
      </c>
      <c r="E19" s="22" t="n">
        <v>46273</v>
      </c>
      <c r="F19" s="22" t="n">
        <v>46293</v>
      </c>
      <c r="G19" s="20" t="n"/>
      <c r="H19" s="23" t="n"/>
      <c r="I19" s="23" t="n"/>
      <c r="J19" s="23" t="n"/>
      <c r="K19" s="23" t="n"/>
      <c r="L19" s="37">
        <f>COUNTIFS(案件管理!$AD$5:$AD$104,"&gt;="&amp;DATE(2026,9,1),案件管理!$AD$5:$AD$104,"&lt;"&amp;DATE(2026,10,1),案件管理!$AE$5:$AE$104,$A19)</f>
        <v/>
      </c>
      <c r="M19" s="37">
        <f>COUNTIFS(案件管理!$AD$5:$AD$104,"&gt;="&amp;DATE(2026,9,1),案件管理!$AD$5:$AD$104,"&lt;"&amp;DATE(2026,10,1),案件管理!$AE$5:$AE$104,$A19,案件管理!$F$5:$F$104,"&gt;="&amp;判定基準!$B$32,案件管理!$F$5:$F$104,"&lt;="&amp;判定基準!$B$33,案件管理!$G$5:$G$104,"&lt;="&amp;判定基準!$B$34,案件管理!$D$5:$D$104,"&lt;&gt;"&amp;判定基準!$B$35)</f>
        <v/>
      </c>
      <c r="N19" s="37">
        <f>COUNTIFS(案件管理!$AD$5:$AD$104,"&gt;="&amp;DATE(2026,10,1),案件管理!$AD$5:$AD$104,"&lt;"&amp;DATE(2026,11,1),案件管理!$AE$5:$AE$104,$A19)</f>
        <v/>
      </c>
      <c r="O19" s="37">
        <f>COUNTIFS(案件管理!$AD$5:$AD$104,"&gt;="&amp;DATE(2026,10,1),案件管理!$AD$5:$AD$104,"&lt;"&amp;DATE(2026,11,1),案件管理!$AE$5:$AE$104,$A19,案件管理!$F$5:$F$104,"&gt;="&amp;判定基準!$B$32,案件管理!$F$5:$F$104,"&lt;="&amp;判定基準!$B$33,案件管理!$G$5:$G$104,"&lt;="&amp;判定基準!$B$34,案件管理!$D$5:$D$104,"&lt;&gt;"&amp;判定基準!$B$35)</f>
        <v/>
      </c>
      <c r="P19" s="37">
        <f>COUNTIFS(案件管理!$AD$5:$AD$104,"&gt;="&amp;DATE(2026,11,1),案件管理!$AD$5:$AD$104,"&lt;"&amp;DATE(2026,12,1),案件管理!$AE$5:$AE$104,$A19)</f>
        <v/>
      </c>
      <c r="Q19" s="37">
        <f>COUNTIFS(案件管理!$AD$5:$AD$104,"&gt;="&amp;DATE(2026,11,1),案件管理!$AD$5:$AD$104,"&lt;"&amp;DATE(2026,12,1),案件管理!$AE$5:$AE$104,$A19,案件管理!$F$5:$F$104,"&gt;="&amp;判定基準!$B$32,案件管理!$F$5:$F$104,"&lt;="&amp;判定基準!$B$33,案件管理!$G$5:$G$104,"&lt;="&amp;判定基準!$B$34,案件管理!$D$5:$D$104,"&lt;&gt;"&amp;判定基準!$B$35)</f>
        <v/>
      </c>
      <c r="R19" s="37">
        <f>COUNTIFS(案件管理!$AD$5:$AD$104,"&gt;="&amp;DATE(2026,12,1),案件管理!$AD$5:$AD$104,"&lt;"&amp;DATE(2027,1,1),案件管理!$AE$5:$AE$104,$A19)</f>
        <v/>
      </c>
      <c r="S19" s="37">
        <f>COUNTIFS(案件管理!$AD$5:$AD$104,"&gt;="&amp;DATE(2026,12,1),案件管理!$AD$5:$AD$104,"&lt;"&amp;DATE(2027,1,1),案件管理!$AE$5:$AE$104,$A19,案件管理!$F$5:$F$104,"&gt;="&amp;判定基準!$B$32,案件管理!$F$5:$F$104,"&lt;="&amp;判定基準!$B$33,案件管理!$G$5:$G$104,"&lt;="&amp;判定基準!$B$34,案件管理!$D$5:$D$104,"&lt;&gt;"&amp;判定基準!$B$35)</f>
        <v/>
      </c>
      <c r="T19" s="37">
        <f>COUNTIFS(案件管理!$AD$5:$AD$104,"&gt;="&amp;DATE(2027,1,1),案件管理!$AD$5:$AD$104,"&lt;"&amp;DATE(2027,2,1),案件管理!$AE$5:$AE$104,$A19)</f>
        <v/>
      </c>
      <c r="U19" s="37">
        <f>COUNTIFS(案件管理!$AD$5:$AD$104,"&gt;="&amp;DATE(2027,1,1),案件管理!$AD$5:$AD$104,"&lt;"&amp;DATE(2027,2,1),案件管理!$AE$5:$AE$104,$A19,案件管理!$F$5:$F$104,"&gt;="&amp;判定基準!$B$32,案件管理!$F$5:$F$104,"&lt;="&amp;判定基準!$B$33,案件管理!$G$5:$G$104,"&lt;="&amp;判定基準!$B$34,案件管理!$D$5:$D$104,"&lt;&gt;"&amp;判定基準!$B$35)</f>
        <v/>
      </c>
      <c r="V19" s="37">
        <f>COUNTIFS(案件管理!$AD$5:$AD$104,"&gt;="&amp;DATE(2027,2,1),案件管理!$AD$5:$AD$104,"&lt;"&amp;DATE(2027,3,1),案件管理!$AE$5:$AE$104,$A19)</f>
        <v/>
      </c>
      <c r="W19" s="37">
        <f>COUNTIFS(案件管理!$AD$5:$AD$104,"&gt;="&amp;DATE(2027,2,1),案件管理!$AD$5:$AD$104,"&lt;"&amp;DATE(2027,3,1),案件管理!$AE$5:$AE$104,$A19,案件管理!$F$5:$F$104,"&gt;="&amp;判定基準!$B$32,案件管理!$F$5:$F$104,"&lt;="&amp;判定基準!$B$33,案件管理!$G$5:$G$104,"&lt;="&amp;判定基準!$B$34,案件管理!$D$5:$D$104,"&lt;&gt;"&amp;判定基準!$B$35)</f>
        <v/>
      </c>
      <c r="X19" s="37">
        <f>COUNTIFS(案件管理!$AD$5:$AD$104,"&gt;="&amp;DATE(2027,3,1),案件管理!$AD$5:$AD$104,"&lt;"&amp;DATE(2027,4,1),案件管理!$AE$5:$AE$104,$A19)</f>
        <v/>
      </c>
      <c r="Y19" s="37">
        <f>COUNTIFS(案件管理!$AD$5:$AD$104,"&gt;="&amp;DATE(2027,3,1),案件管理!$AD$5:$AD$104,"&lt;"&amp;DATE(2027,4,1),案件管理!$AE$5:$AE$104,$A19,案件管理!$F$5:$F$104,"&gt;="&amp;判定基準!$B$32,案件管理!$F$5:$F$104,"&lt;="&amp;判定基準!$B$33,案件管理!$G$5:$G$104,"&lt;="&amp;判定基準!$B$34,案件管理!$D$5:$D$104,"&lt;&gt;"&amp;判定基準!$B$35)</f>
        <v/>
      </c>
      <c r="Z19" s="37">
        <f>COUNTIFS(案件管理!$AD$5:$AD$104,"&gt;="&amp;DATE(2027,4,1),案件管理!$AD$5:$AD$104,"&lt;"&amp;DATE(2027,5,1),案件管理!$AE$5:$AE$104,$A19)</f>
        <v/>
      </c>
      <c r="AA19" s="37">
        <f>COUNTIFS(案件管理!$AD$5:$AD$104,"&gt;="&amp;DATE(2027,4,1),案件管理!$AD$5:$AD$104,"&lt;"&amp;DATE(2027,5,1),案件管理!$AE$5:$AE$104,$A19,案件管理!$F$5:$F$104,"&gt;="&amp;判定基準!$B$32,案件管理!$F$5:$F$104,"&lt;="&amp;判定基準!$B$33,案件管理!$G$5:$G$104,"&lt;="&amp;判定基準!$B$34,案件管理!$D$5:$D$104,"&lt;&gt;"&amp;判定基準!$B$35)</f>
        <v/>
      </c>
      <c r="AB19" s="37">
        <f>COUNTIFS(案件管理!$AD$5:$AD$104,"&gt;="&amp;DATE(2027,5,1),案件管理!$AD$5:$AD$104,"&lt;"&amp;DATE(2027,6,1),案件管理!$AE$5:$AE$104,$A19)</f>
        <v/>
      </c>
      <c r="AC19" s="37">
        <f>COUNTIFS(案件管理!$AD$5:$AD$104,"&gt;="&amp;DATE(2027,5,1),案件管理!$AD$5:$AD$104,"&lt;"&amp;DATE(2027,6,1),案件管理!$AE$5:$AE$104,$A19,案件管理!$F$5:$F$104,"&gt;="&amp;判定基準!$B$32,案件管理!$F$5:$F$104,"&lt;="&amp;判定基準!$B$33,案件管理!$G$5:$G$104,"&lt;="&amp;判定基準!$B$34,案件管理!$D$5:$D$104,"&lt;&gt;"&amp;判定基準!$B$35)</f>
        <v/>
      </c>
      <c r="AD19" s="37">
        <f>COUNTIFS(案件管理!$AD$5:$AD$104,"&gt;="&amp;DATE(2027,6,1),案件管理!$AD$5:$AD$104,"&lt;"&amp;DATE(2027,7,1),案件管理!$AE$5:$AE$104,$A19)</f>
        <v/>
      </c>
      <c r="AE19" s="37">
        <f>COUNTIFS(案件管理!$AD$5:$AD$104,"&gt;="&amp;DATE(2027,6,1),案件管理!$AD$5:$AD$104,"&lt;"&amp;DATE(2027,7,1),案件管理!$AE$5:$AE$104,$A19,案件管理!$F$5:$F$104,"&gt;="&amp;判定基準!$B$32,案件管理!$F$5:$F$104,"&lt;="&amp;判定基準!$B$33,案件管理!$G$5:$G$104,"&lt;="&amp;判定基準!$B$34,案件管理!$D$5:$D$104,"&lt;&gt;"&amp;判定基準!$B$35)</f>
        <v/>
      </c>
      <c r="AF19" s="37">
        <f>COUNTIFS(案件管理!$AD$5:$AD$104,"&gt;="&amp;DATE(2027,7,1),案件管理!$AD$5:$AD$104,"&lt;"&amp;DATE(2027,8,1),案件管理!$AE$5:$AE$104,$A19)</f>
        <v/>
      </c>
      <c r="AG19" s="37">
        <f>COUNTIFS(案件管理!$AD$5:$AD$104,"&gt;="&amp;DATE(2027,7,1),案件管理!$AD$5:$AD$104,"&lt;"&amp;DATE(2027,8,1),案件管理!$AE$5:$AE$104,$A19,案件管理!$F$5:$F$104,"&gt;="&amp;判定基準!$B$32,案件管理!$F$5:$F$104,"&lt;="&amp;判定基準!$B$33,案件管理!$G$5:$G$104,"&lt;="&amp;判定基準!$B$34,案件管理!$D$5:$D$104,"&lt;&gt;"&amp;判定基準!$B$35)</f>
        <v/>
      </c>
      <c r="AH19" s="37">
        <f>COUNTIFS(案件管理!$AD$5:$AD$104,"&gt;="&amp;DATE(2027,8,1),案件管理!$AD$5:$AD$104,"&lt;"&amp;DATE(2027,9,1),案件管理!$AE$5:$AE$104,$A19)</f>
        <v/>
      </c>
      <c r="AI19" s="37">
        <f>COUNTIFS(案件管理!$AD$5:$AD$104,"&gt;="&amp;DATE(2027,8,1),案件管理!$AD$5:$AD$104,"&lt;"&amp;DATE(2027,9,1),案件管理!$AE$5:$AE$104,$A19,案件管理!$F$5:$F$104,"&gt;="&amp;判定基準!$B$32,案件管理!$F$5:$F$104,"&lt;="&amp;判定基準!$B$33,案件管理!$G$5:$G$104,"&lt;="&amp;判定基準!$B$34,案件管理!$D$5:$D$104,"&lt;&gt;"&amp;判定基準!$B$35)</f>
        <v/>
      </c>
      <c r="AJ19" s="37">
        <f>L19+N19+P19+R19+T19+V19+X19+Z19+AB19+AD19+AF19+AH19</f>
        <v/>
      </c>
      <c r="AK19" s="37">
        <f>M19+O19+Q19+S19+U19+W19+Y19+AA19+AC19+AE19+AG19+AI19</f>
        <v/>
      </c>
      <c r="AL19" s="38">
        <f>IF(AJ19=0,"",AK19/AJ19)</f>
        <v/>
      </c>
    </row>
    <row r="20">
      <c r="A20" s="23" t="inlineStr">
        <is>
          <t>Icon Capital株式会社</t>
        </is>
      </c>
      <c r="B20" s="17" t="n"/>
      <c r="C20" s="23" t="inlineStr">
        <is>
          <t>B</t>
        </is>
      </c>
      <c r="D20" s="23" t="inlineStr">
        <is>
          <t>陶山</t>
        </is>
      </c>
      <c r="E20" s="23" t="n"/>
      <c r="F20" s="22" t="n">
        <v>46279</v>
      </c>
      <c r="G20" s="20" t="n"/>
      <c r="H20" s="23" t="n"/>
      <c r="I20" s="23" t="n"/>
      <c r="J20" s="23" t="n"/>
      <c r="K20" s="23" t="n"/>
      <c r="L20" s="37">
        <f>COUNTIFS(案件管理!$AD$5:$AD$104,"&gt;="&amp;DATE(2026,9,1),案件管理!$AD$5:$AD$104,"&lt;"&amp;DATE(2026,10,1),案件管理!$AE$5:$AE$104,$A20)</f>
        <v/>
      </c>
      <c r="M20" s="37">
        <f>COUNTIFS(案件管理!$AD$5:$AD$104,"&gt;="&amp;DATE(2026,9,1),案件管理!$AD$5:$AD$104,"&lt;"&amp;DATE(2026,10,1),案件管理!$AE$5:$AE$104,$A20,案件管理!$F$5:$F$104,"&gt;="&amp;判定基準!$B$32,案件管理!$F$5:$F$104,"&lt;="&amp;判定基準!$B$33,案件管理!$G$5:$G$104,"&lt;="&amp;判定基準!$B$34,案件管理!$D$5:$D$104,"&lt;&gt;"&amp;判定基準!$B$35)</f>
        <v/>
      </c>
      <c r="N20" s="37">
        <f>COUNTIFS(案件管理!$AD$5:$AD$104,"&gt;="&amp;DATE(2026,10,1),案件管理!$AD$5:$AD$104,"&lt;"&amp;DATE(2026,11,1),案件管理!$AE$5:$AE$104,$A20)</f>
        <v/>
      </c>
      <c r="O20" s="37">
        <f>COUNTIFS(案件管理!$AD$5:$AD$104,"&gt;="&amp;DATE(2026,10,1),案件管理!$AD$5:$AD$104,"&lt;"&amp;DATE(2026,11,1),案件管理!$AE$5:$AE$104,$A20,案件管理!$F$5:$F$104,"&gt;="&amp;判定基準!$B$32,案件管理!$F$5:$F$104,"&lt;="&amp;判定基準!$B$33,案件管理!$G$5:$G$104,"&lt;="&amp;判定基準!$B$34,案件管理!$D$5:$D$104,"&lt;&gt;"&amp;判定基準!$B$35)</f>
        <v/>
      </c>
      <c r="P20" s="37">
        <f>COUNTIFS(案件管理!$AD$5:$AD$104,"&gt;="&amp;DATE(2026,11,1),案件管理!$AD$5:$AD$104,"&lt;"&amp;DATE(2026,12,1),案件管理!$AE$5:$AE$104,$A20)</f>
        <v/>
      </c>
      <c r="Q20" s="37">
        <f>COUNTIFS(案件管理!$AD$5:$AD$104,"&gt;="&amp;DATE(2026,11,1),案件管理!$AD$5:$AD$104,"&lt;"&amp;DATE(2026,12,1),案件管理!$AE$5:$AE$104,$A20,案件管理!$F$5:$F$104,"&gt;="&amp;判定基準!$B$32,案件管理!$F$5:$F$104,"&lt;="&amp;判定基準!$B$33,案件管理!$G$5:$G$104,"&lt;="&amp;判定基準!$B$34,案件管理!$D$5:$D$104,"&lt;&gt;"&amp;判定基準!$B$35)</f>
        <v/>
      </c>
      <c r="R20" s="37">
        <f>COUNTIFS(案件管理!$AD$5:$AD$104,"&gt;="&amp;DATE(2026,12,1),案件管理!$AD$5:$AD$104,"&lt;"&amp;DATE(2027,1,1),案件管理!$AE$5:$AE$104,$A20)</f>
        <v/>
      </c>
      <c r="S20" s="37">
        <f>COUNTIFS(案件管理!$AD$5:$AD$104,"&gt;="&amp;DATE(2026,12,1),案件管理!$AD$5:$AD$104,"&lt;"&amp;DATE(2027,1,1),案件管理!$AE$5:$AE$104,$A20,案件管理!$F$5:$F$104,"&gt;="&amp;判定基準!$B$32,案件管理!$F$5:$F$104,"&lt;="&amp;判定基準!$B$33,案件管理!$G$5:$G$104,"&lt;="&amp;判定基準!$B$34,案件管理!$D$5:$D$104,"&lt;&gt;"&amp;判定基準!$B$35)</f>
        <v/>
      </c>
      <c r="T20" s="37">
        <f>COUNTIFS(案件管理!$AD$5:$AD$104,"&gt;="&amp;DATE(2027,1,1),案件管理!$AD$5:$AD$104,"&lt;"&amp;DATE(2027,2,1),案件管理!$AE$5:$AE$104,$A20)</f>
        <v/>
      </c>
      <c r="U20" s="37">
        <f>COUNTIFS(案件管理!$AD$5:$AD$104,"&gt;="&amp;DATE(2027,1,1),案件管理!$AD$5:$AD$104,"&lt;"&amp;DATE(2027,2,1),案件管理!$AE$5:$AE$104,$A20,案件管理!$F$5:$F$104,"&gt;="&amp;判定基準!$B$32,案件管理!$F$5:$F$104,"&lt;="&amp;判定基準!$B$33,案件管理!$G$5:$G$104,"&lt;="&amp;判定基準!$B$34,案件管理!$D$5:$D$104,"&lt;&gt;"&amp;判定基準!$B$35)</f>
        <v/>
      </c>
      <c r="V20" s="37">
        <f>COUNTIFS(案件管理!$AD$5:$AD$104,"&gt;="&amp;DATE(2027,2,1),案件管理!$AD$5:$AD$104,"&lt;"&amp;DATE(2027,3,1),案件管理!$AE$5:$AE$104,$A20)</f>
        <v/>
      </c>
      <c r="W20" s="37">
        <f>COUNTIFS(案件管理!$AD$5:$AD$104,"&gt;="&amp;DATE(2027,2,1),案件管理!$AD$5:$AD$104,"&lt;"&amp;DATE(2027,3,1),案件管理!$AE$5:$AE$104,$A20,案件管理!$F$5:$F$104,"&gt;="&amp;判定基準!$B$32,案件管理!$F$5:$F$104,"&lt;="&amp;判定基準!$B$33,案件管理!$G$5:$G$104,"&lt;="&amp;判定基準!$B$34,案件管理!$D$5:$D$104,"&lt;&gt;"&amp;判定基準!$B$35)</f>
        <v/>
      </c>
      <c r="X20" s="37">
        <f>COUNTIFS(案件管理!$AD$5:$AD$104,"&gt;="&amp;DATE(2027,3,1),案件管理!$AD$5:$AD$104,"&lt;"&amp;DATE(2027,4,1),案件管理!$AE$5:$AE$104,$A20)</f>
        <v/>
      </c>
      <c r="Y20" s="37">
        <f>COUNTIFS(案件管理!$AD$5:$AD$104,"&gt;="&amp;DATE(2027,3,1),案件管理!$AD$5:$AD$104,"&lt;"&amp;DATE(2027,4,1),案件管理!$AE$5:$AE$104,$A20,案件管理!$F$5:$F$104,"&gt;="&amp;判定基準!$B$32,案件管理!$F$5:$F$104,"&lt;="&amp;判定基準!$B$33,案件管理!$G$5:$G$104,"&lt;="&amp;判定基準!$B$34,案件管理!$D$5:$D$104,"&lt;&gt;"&amp;判定基準!$B$35)</f>
        <v/>
      </c>
      <c r="Z20" s="37">
        <f>COUNTIFS(案件管理!$AD$5:$AD$104,"&gt;="&amp;DATE(2027,4,1),案件管理!$AD$5:$AD$104,"&lt;"&amp;DATE(2027,5,1),案件管理!$AE$5:$AE$104,$A20)</f>
        <v/>
      </c>
      <c r="AA20" s="37">
        <f>COUNTIFS(案件管理!$AD$5:$AD$104,"&gt;="&amp;DATE(2027,4,1),案件管理!$AD$5:$AD$104,"&lt;"&amp;DATE(2027,5,1),案件管理!$AE$5:$AE$104,$A20,案件管理!$F$5:$F$104,"&gt;="&amp;判定基準!$B$32,案件管理!$F$5:$F$104,"&lt;="&amp;判定基準!$B$33,案件管理!$G$5:$G$104,"&lt;="&amp;判定基準!$B$34,案件管理!$D$5:$D$104,"&lt;&gt;"&amp;判定基準!$B$35)</f>
        <v/>
      </c>
      <c r="AB20" s="37">
        <f>COUNTIFS(案件管理!$AD$5:$AD$104,"&gt;="&amp;DATE(2027,5,1),案件管理!$AD$5:$AD$104,"&lt;"&amp;DATE(2027,6,1),案件管理!$AE$5:$AE$104,$A20)</f>
        <v/>
      </c>
      <c r="AC20" s="37">
        <f>COUNTIFS(案件管理!$AD$5:$AD$104,"&gt;="&amp;DATE(2027,5,1),案件管理!$AD$5:$AD$104,"&lt;"&amp;DATE(2027,6,1),案件管理!$AE$5:$AE$104,$A20,案件管理!$F$5:$F$104,"&gt;="&amp;判定基準!$B$32,案件管理!$F$5:$F$104,"&lt;="&amp;判定基準!$B$33,案件管理!$G$5:$G$104,"&lt;="&amp;判定基準!$B$34,案件管理!$D$5:$D$104,"&lt;&gt;"&amp;判定基準!$B$35)</f>
        <v/>
      </c>
      <c r="AD20" s="37">
        <f>COUNTIFS(案件管理!$AD$5:$AD$104,"&gt;="&amp;DATE(2027,6,1),案件管理!$AD$5:$AD$104,"&lt;"&amp;DATE(2027,7,1),案件管理!$AE$5:$AE$104,$A20)</f>
        <v/>
      </c>
      <c r="AE20" s="37">
        <f>COUNTIFS(案件管理!$AD$5:$AD$104,"&gt;="&amp;DATE(2027,6,1),案件管理!$AD$5:$AD$104,"&lt;"&amp;DATE(2027,7,1),案件管理!$AE$5:$AE$104,$A20,案件管理!$F$5:$F$104,"&gt;="&amp;判定基準!$B$32,案件管理!$F$5:$F$104,"&lt;="&amp;判定基準!$B$33,案件管理!$G$5:$G$104,"&lt;="&amp;判定基準!$B$34,案件管理!$D$5:$D$104,"&lt;&gt;"&amp;判定基準!$B$35)</f>
        <v/>
      </c>
      <c r="AF20" s="37">
        <f>COUNTIFS(案件管理!$AD$5:$AD$104,"&gt;="&amp;DATE(2027,7,1),案件管理!$AD$5:$AD$104,"&lt;"&amp;DATE(2027,8,1),案件管理!$AE$5:$AE$104,$A20)</f>
        <v/>
      </c>
      <c r="AG20" s="37">
        <f>COUNTIFS(案件管理!$AD$5:$AD$104,"&gt;="&amp;DATE(2027,7,1),案件管理!$AD$5:$AD$104,"&lt;"&amp;DATE(2027,8,1),案件管理!$AE$5:$AE$104,$A20,案件管理!$F$5:$F$104,"&gt;="&amp;判定基準!$B$32,案件管理!$F$5:$F$104,"&lt;="&amp;判定基準!$B$33,案件管理!$G$5:$G$104,"&lt;="&amp;判定基準!$B$34,案件管理!$D$5:$D$104,"&lt;&gt;"&amp;判定基準!$B$35)</f>
        <v/>
      </c>
      <c r="AH20" s="37">
        <f>COUNTIFS(案件管理!$AD$5:$AD$104,"&gt;="&amp;DATE(2027,8,1),案件管理!$AD$5:$AD$104,"&lt;"&amp;DATE(2027,9,1),案件管理!$AE$5:$AE$104,$A20)</f>
        <v/>
      </c>
      <c r="AI20" s="37">
        <f>COUNTIFS(案件管理!$AD$5:$AD$104,"&gt;="&amp;DATE(2027,8,1),案件管理!$AD$5:$AD$104,"&lt;"&amp;DATE(2027,9,1),案件管理!$AE$5:$AE$104,$A20,案件管理!$F$5:$F$104,"&gt;="&amp;判定基準!$B$32,案件管理!$F$5:$F$104,"&lt;="&amp;判定基準!$B$33,案件管理!$G$5:$G$104,"&lt;="&amp;判定基準!$B$34,案件管理!$D$5:$D$104,"&lt;&gt;"&amp;判定基準!$B$35)</f>
        <v/>
      </c>
      <c r="AJ20" s="37">
        <f>L20+N20+P20+R20+T20+V20+X20+Z20+AB20+AD20+AF20+AH20</f>
        <v/>
      </c>
      <c r="AK20" s="37">
        <f>M20+O20+Q20+S20+U20+W20+Y20+AA20+AC20+AE20+AG20+AI20</f>
        <v/>
      </c>
      <c r="AL20" s="38">
        <f>IF(AJ20=0,"",AK20/AJ20)</f>
        <v/>
      </c>
    </row>
    <row r="21">
      <c r="A21" s="23" t="inlineStr">
        <is>
          <t>株式会社fundbook</t>
        </is>
      </c>
      <c r="B21" s="17" t="n"/>
      <c r="C21" s="23" t="inlineStr">
        <is>
          <t>A</t>
        </is>
      </c>
      <c r="D21" s="23" t="inlineStr">
        <is>
          <t>関口</t>
        </is>
      </c>
      <c r="E21" s="22" t="n">
        <v>46280</v>
      </c>
      <c r="F21" s="23" t="n"/>
      <c r="G21" s="20" t="n"/>
      <c r="H21" s="23" t="n"/>
      <c r="I21" s="23" t="n"/>
      <c r="J21" s="23" t="n"/>
      <c r="K21" s="23" t="n"/>
      <c r="L21" s="37">
        <f>COUNTIFS(案件管理!$AD$5:$AD$104,"&gt;="&amp;DATE(2026,9,1),案件管理!$AD$5:$AD$104,"&lt;"&amp;DATE(2026,10,1),案件管理!$AE$5:$AE$104,$A21)</f>
        <v/>
      </c>
      <c r="M21" s="37">
        <f>COUNTIFS(案件管理!$AD$5:$AD$104,"&gt;="&amp;DATE(2026,9,1),案件管理!$AD$5:$AD$104,"&lt;"&amp;DATE(2026,10,1),案件管理!$AE$5:$AE$104,$A21,案件管理!$F$5:$F$104,"&gt;="&amp;判定基準!$B$32,案件管理!$F$5:$F$104,"&lt;="&amp;判定基準!$B$33,案件管理!$G$5:$G$104,"&lt;="&amp;判定基準!$B$34,案件管理!$D$5:$D$104,"&lt;&gt;"&amp;判定基準!$B$35)</f>
        <v/>
      </c>
      <c r="N21" s="37">
        <f>COUNTIFS(案件管理!$AD$5:$AD$104,"&gt;="&amp;DATE(2026,10,1),案件管理!$AD$5:$AD$104,"&lt;"&amp;DATE(2026,11,1),案件管理!$AE$5:$AE$104,$A21)</f>
        <v/>
      </c>
      <c r="O21" s="37">
        <f>COUNTIFS(案件管理!$AD$5:$AD$104,"&gt;="&amp;DATE(2026,10,1),案件管理!$AD$5:$AD$104,"&lt;"&amp;DATE(2026,11,1),案件管理!$AE$5:$AE$104,$A21,案件管理!$F$5:$F$104,"&gt;="&amp;判定基準!$B$32,案件管理!$F$5:$F$104,"&lt;="&amp;判定基準!$B$33,案件管理!$G$5:$G$104,"&lt;="&amp;判定基準!$B$34,案件管理!$D$5:$D$104,"&lt;&gt;"&amp;判定基準!$B$35)</f>
        <v/>
      </c>
      <c r="P21" s="37">
        <f>COUNTIFS(案件管理!$AD$5:$AD$104,"&gt;="&amp;DATE(2026,11,1),案件管理!$AD$5:$AD$104,"&lt;"&amp;DATE(2026,12,1),案件管理!$AE$5:$AE$104,$A21)</f>
        <v/>
      </c>
      <c r="Q21" s="37">
        <f>COUNTIFS(案件管理!$AD$5:$AD$104,"&gt;="&amp;DATE(2026,11,1),案件管理!$AD$5:$AD$104,"&lt;"&amp;DATE(2026,12,1),案件管理!$AE$5:$AE$104,$A21,案件管理!$F$5:$F$104,"&gt;="&amp;判定基準!$B$32,案件管理!$F$5:$F$104,"&lt;="&amp;判定基準!$B$33,案件管理!$G$5:$G$104,"&lt;="&amp;判定基準!$B$34,案件管理!$D$5:$D$104,"&lt;&gt;"&amp;判定基準!$B$35)</f>
        <v/>
      </c>
      <c r="R21" s="37">
        <f>COUNTIFS(案件管理!$AD$5:$AD$104,"&gt;="&amp;DATE(2026,12,1),案件管理!$AD$5:$AD$104,"&lt;"&amp;DATE(2027,1,1),案件管理!$AE$5:$AE$104,$A21)</f>
        <v/>
      </c>
      <c r="S21" s="37">
        <f>COUNTIFS(案件管理!$AD$5:$AD$104,"&gt;="&amp;DATE(2026,12,1),案件管理!$AD$5:$AD$104,"&lt;"&amp;DATE(2027,1,1),案件管理!$AE$5:$AE$104,$A21,案件管理!$F$5:$F$104,"&gt;="&amp;判定基準!$B$32,案件管理!$F$5:$F$104,"&lt;="&amp;判定基準!$B$33,案件管理!$G$5:$G$104,"&lt;="&amp;判定基準!$B$34,案件管理!$D$5:$D$104,"&lt;&gt;"&amp;判定基準!$B$35)</f>
        <v/>
      </c>
      <c r="T21" s="37">
        <f>COUNTIFS(案件管理!$AD$5:$AD$104,"&gt;="&amp;DATE(2027,1,1),案件管理!$AD$5:$AD$104,"&lt;"&amp;DATE(2027,2,1),案件管理!$AE$5:$AE$104,$A21)</f>
        <v/>
      </c>
      <c r="U21" s="37">
        <f>COUNTIFS(案件管理!$AD$5:$AD$104,"&gt;="&amp;DATE(2027,1,1),案件管理!$AD$5:$AD$104,"&lt;"&amp;DATE(2027,2,1),案件管理!$AE$5:$AE$104,$A21,案件管理!$F$5:$F$104,"&gt;="&amp;判定基準!$B$32,案件管理!$F$5:$F$104,"&lt;="&amp;判定基準!$B$33,案件管理!$G$5:$G$104,"&lt;="&amp;判定基準!$B$34,案件管理!$D$5:$D$104,"&lt;&gt;"&amp;判定基準!$B$35)</f>
        <v/>
      </c>
      <c r="V21" s="37">
        <f>COUNTIFS(案件管理!$AD$5:$AD$104,"&gt;="&amp;DATE(2027,2,1),案件管理!$AD$5:$AD$104,"&lt;"&amp;DATE(2027,3,1),案件管理!$AE$5:$AE$104,$A21)</f>
        <v/>
      </c>
      <c r="W21" s="37">
        <f>COUNTIFS(案件管理!$AD$5:$AD$104,"&gt;="&amp;DATE(2027,2,1),案件管理!$AD$5:$AD$104,"&lt;"&amp;DATE(2027,3,1),案件管理!$AE$5:$AE$104,$A21,案件管理!$F$5:$F$104,"&gt;="&amp;判定基準!$B$32,案件管理!$F$5:$F$104,"&lt;="&amp;判定基準!$B$33,案件管理!$G$5:$G$104,"&lt;="&amp;判定基準!$B$34,案件管理!$D$5:$D$104,"&lt;&gt;"&amp;判定基準!$B$35)</f>
        <v/>
      </c>
      <c r="X21" s="37">
        <f>COUNTIFS(案件管理!$AD$5:$AD$104,"&gt;="&amp;DATE(2027,3,1),案件管理!$AD$5:$AD$104,"&lt;"&amp;DATE(2027,4,1),案件管理!$AE$5:$AE$104,$A21)</f>
        <v/>
      </c>
      <c r="Y21" s="37">
        <f>COUNTIFS(案件管理!$AD$5:$AD$104,"&gt;="&amp;DATE(2027,3,1),案件管理!$AD$5:$AD$104,"&lt;"&amp;DATE(2027,4,1),案件管理!$AE$5:$AE$104,$A21,案件管理!$F$5:$F$104,"&gt;="&amp;判定基準!$B$32,案件管理!$F$5:$F$104,"&lt;="&amp;判定基準!$B$33,案件管理!$G$5:$G$104,"&lt;="&amp;判定基準!$B$34,案件管理!$D$5:$D$104,"&lt;&gt;"&amp;判定基準!$B$35)</f>
        <v/>
      </c>
      <c r="Z21" s="37">
        <f>COUNTIFS(案件管理!$AD$5:$AD$104,"&gt;="&amp;DATE(2027,4,1),案件管理!$AD$5:$AD$104,"&lt;"&amp;DATE(2027,5,1),案件管理!$AE$5:$AE$104,$A21)</f>
        <v/>
      </c>
      <c r="AA21" s="37">
        <f>COUNTIFS(案件管理!$AD$5:$AD$104,"&gt;="&amp;DATE(2027,4,1),案件管理!$AD$5:$AD$104,"&lt;"&amp;DATE(2027,5,1),案件管理!$AE$5:$AE$104,$A21,案件管理!$F$5:$F$104,"&gt;="&amp;判定基準!$B$32,案件管理!$F$5:$F$104,"&lt;="&amp;判定基準!$B$33,案件管理!$G$5:$G$104,"&lt;="&amp;判定基準!$B$34,案件管理!$D$5:$D$104,"&lt;&gt;"&amp;判定基準!$B$35)</f>
        <v/>
      </c>
      <c r="AB21" s="37">
        <f>COUNTIFS(案件管理!$AD$5:$AD$104,"&gt;="&amp;DATE(2027,5,1),案件管理!$AD$5:$AD$104,"&lt;"&amp;DATE(2027,6,1),案件管理!$AE$5:$AE$104,$A21)</f>
        <v/>
      </c>
      <c r="AC21" s="37">
        <f>COUNTIFS(案件管理!$AD$5:$AD$104,"&gt;="&amp;DATE(2027,5,1),案件管理!$AD$5:$AD$104,"&lt;"&amp;DATE(2027,6,1),案件管理!$AE$5:$AE$104,$A21,案件管理!$F$5:$F$104,"&gt;="&amp;判定基準!$B$32,案件管理!$F$5:$F$104,"&lt;="&amp;判定基準!$B$33,案件管理!$G$5:$G$104,"&lt;="&amp;判定基準!$B$34,案件管理!$D$5:$D$104,"&lt;&gt;"&amp;判定基準!$B$35)</f>
        <v/>
      </c>
      <c r="AD21" s="37">
        <f>COUNTIFS(案件管理!$AD$5:$AD$104,"&gt;="&amp;DATE(2027,6,1),案件管理!$AD$5:$AD$104,"&lt;"&amp;DATE(2027,7,1),案件管理!$AE$5:$AE$104,$A21)</f>
        <v/>
      </c>
      <c r="AE21" s="37">
        <f>COUNTIFS(案件管理!$AD$5:$AD$104,"&gt;="&amp;DATE(2027,6,1),案件管理!$AD$5:$AD$104,"&lt;"&amp;DATE(2027,7,1),案件管理!$AE$5:$AE$104,$A21,案件管理!$F$5:$F$104,"&gt;="&amp;判定基準!$B$32,案件管理!$F$5:$F$104,"&lt;="&amp;判定基準!$B$33,案件管理!$G$5:$G$104,"&lt;="&amp;判定基準!$B$34,案件管理!$D$5:$D$104,"&lt;&gt;"&amp;判定基準!$B$35)</f>
        <v/>
      </c>
      <c r="AF21" s="37">
        <f>COUNTIFS(案件管理!$AD$5:$AD$104,"&gt;="&amp;DATE(2027,7,1),案件管理!$AD$5:$AD$104,"&lt;"&amp;DATE(2027,8,1),案件管理!$AE$5:$AE$104,$A21)</f>
        <v/>
      </c>
      <c r="AG21" s="37">
        <f>COUNTIFS(案件管理!$AD$5:$AD$104,"&gt;="&amp;DATE(2027,7,1),案件管理!$AD$5:$AD$104,"&lt;"&amp;DATE(2027,8,1),案件管理!$AE$5:$AE$104,$A21,案件管理!$F$5:$F$104,"&gt;="&amp;判定基準!$B$32,案件管理!$F$5:$F$104,"&lt;="&amp;判定基準!$B$33,案件管理!$G$5:$G$104,"&lt;="&amp;判定基準!$B$34,案件管理!$D$5:$D$104,"&lt;&gt;"&amp;判定基準!$B$35)</f>
        <v/>
      </c>
      <c r="AH21" s="37">
        <f>COUNTIFS(案件管理!$AD$5:$AD$104,"&gt;="&amp;DATE(2027,8,1),案件管理!$AD$5:$AD$104,"&lt;"&amp;DATE(2027,9,1),案件管理!$AE$5:$AE$104,$A21)</f>
        <v/>
      </c>
      <c r="AI21" s="37">
        <f>COUNTIFS(案件管理!$AD$5:$AD$104,"&gt;="&amp;DATE(2027,8,1),案件管理!$AD$5:$AD$104,"&lt;"&amp;DATE(2027,9,1),案件管理!$AE$5:$AE$104,$A21,案件管理!$F$5:$F$104,"&gt;="&amp;判定基準!$B$32,案件管理!$F$5:$F$104,"&lt;="&amp;判定基準!$B$33,案件管理!$G$5:$G$104,"&lt;="&amp;判定基準!$B$34,案件管理!$D$5:$D$104,"&lt;&gt;"&amp;判定基準!$B$35)</f>
        <v/>
      </c>
      <c r="AJ21" s="37">
        <f>L21+N21+P21+R21+T21+V21+X21+Z21+AB21+AD21+AF21+AH21</f>
        <v/>
      </c>
      <c r="AK21" s="37">
        <f>M21+O21+Q21+S21+U21+W21+Y21+AA21+AC21+AE21+AG21+AI21</f>
        <v/>
      </c>
      <c r="AL21" s="38">
        <f>IF(AJ21=0,"",AK21/AJ21)</f>
        <v/>
      </c>
    </row>
    <row r="22">
      <c r="A22" s="23" t="inlineStr">
        <is>
          <t>株式会社maXアドバイザリー</t>
        </is>
      </c>
      <c r="B22" s="17" t="n"/>
      <c r="C22" s="23" t="n"/>
      <c r="D22" s="23" t="inlineStr">
        <is>
          <t>稲見</t>
        </is>
      </c>
      <c r="E22" s="22" t="n">
        <v>46269</v>
      </c>
      <c r="F22" s="22" t="n">
        <v>46282</v>
      </c>
      <c r="G22" s="20" t="n"/>
      <c r="H22" s="23" t="n"/>
      <c r="I22" s="23" t="n"/>
      <c r="J22" s="23" t="n"/>
      <c r="K22" s="23" t="n"/>
      <c r="L22" s="37">
        <f>COUNTIFS(案件管理!$AD$5:$AD$104,"&gt;="&amp;DATE(2026,9,1),案件管理!$AD$5:$AD$104,"&lt;"&amp;DATE(2026,10,1),案件管理!$AE$5:$AE$104,$A22)</f>
        <v/>
      </c>
      <c r="M22" s="37">
        <f>COUNTIFS(案件管理!$AD$5:$AD$104,"&gt;="&amp;DATE(2026,9,1),案件管理!$AD$5:$AD$104,"&lt;"&amp;DATE(2026,10,1),案件管理!$AE$5:$AE$104,$A22,案件管理!$F$5:$F$104,"&gt;="&amp;判定基準!$B$32,案件管理!$F$5:$F$104,"&lt;="&amp;判定基準!$B$33,案件管理!$G$5:$G$104,"&lt;="&amp;判定基準!$B$34,案件管理!$D$5:$D$104,"&lt;&gt;"&amp;判定基準!$B$35)</f>
        <v/>
      </c>
      <c r="N22" s="37">
        <f>COUNTIFS(案件管理!$AD$5:$AD$104,"&gt;="&amp;DATE(2026,10,1),案件管理!$AD$5:$AD$104,"&lt;"&amp;DATE(2026,11,1),案件管理!$AE$5:$AE$104,$A22)</f>
        <v/>
      </c>
      <c r="O22" s="37">
        <f>COUNTIFS(案件管理!$AD$5:$AD$104,"&gt;="&amp;DATE(2026,10,1),案件管理!$AD$5:$AD$104,"&lt;"&amp;DATE(2026,11,1),案件管理!$AE$5:$AE$104,$A22,案件管理!$F$5:$F$104,"&gt;="&amp;判定基準!$B$32,案件管理!$F$5:$F$104,"&lt;="&amp;判定基準!$B$33,案件管理!$G$5:$G$104,"&lt;="&amp;判定基準!$B$34,案件管理!$D$5:$D$104,"&lt;&gt;"&amp;判定基準!$B$35)</f>
        <v/>
      </c>
      <c r="P22" s="37">
        <f>COUNTIFS(案件管理!$AD$5:$AD$104,"&gt;="&amp;DATE(2026,11,1),案件管理!$AD$5:$AD$104,"&lt;"&amp;DATE(2026,12,1),案件管理!$AE$5:$AE$104,$A22)</f>
        <v/>
      </c>
      <c r="Q22" s="37">
        <f>COUNTIFS(案件管理!$AD$5:$AD$104,"&gt;="&amp;DATE(2026,11,1),案件管理!$AD$5:$AD$104,"&lt;"&amp;DATE(2026,12,1),案件管理!$AE$5:$AE$104,$A22,案件管理!$F$5:$F$104,"&gt;="&amp;判定基準!$B$32,案件管理!$F$5:$F$104,"&lt;="&amp;判定基準!$B$33,案件管理!$G$5:$G$104,"&lt;="&amp;判定基準!$B$34,案件管理!$D$5:$D$104,"&lt;&gt;"&amp;判定基準!$B$35)</f>
        <v/>
      </c>
      <c r="R22" s="37">
        <f>COUNTIFS(案件管理!$AD$5:$AD$104,"&gt;="&amp;DATE(2026,12,1),案件管理!$AD$5:$AD$104,"&lt;"&amp;DATE(2027,1,1),案件管理!$AE$5:$AE$104,$A22)</f>
        <v/>
      </c>
      <c r="S22" s="37">
        <f>COUNTIFS(案件管理!$AD$5:$AD$104,"&gt;="&amp;DATE(2026,12,1),案件管理!$AD$5:$AD$104,"&lt;"&amp;DATE(2027,1,1),案件管理!$AE$5:$AE$104,$A22,案件管理!$F$5:$F$104,"&gt;="&amp;判定基準!$B$32,案件管理!$F$5:$F$104,"&lt;="&amp;判定基準!$B$33,案件管理!$G$5:$G$104,"&lt;="&amp;判定基準!$B$34,案件管理!$D$5:$D$104,"&lt;&gt;"&amp;判定基準!$B$35)</f>
        <v/>
      </c>
      <c r="T22" s="37">
        <f>COUNTIFS(案件管理!$AD$5:$AD$104,"&gt;="&amp;DATE(2027,1,1),案件管理!$AD$5:$AD$104,"&lt;"&amp;DATE(2027,2,1),案件管理!$AE$5:$AE$104,$A22)</f>
        <v/>
      </c>
      <c r="U22" s="37">
        <f>COUNTIFS(案件管理!$AD$5:$AD$104,"&gt;="&amp;DATE(2027,1,1),案件管理!$AD$5:$AD$104,"&lt;"&amp;DATE(2027,2,1),案件管理!$AE$5:$AE$104,$A22,案件管理!$F$5:$F$104,"&gt;="&amp;判定基準!$B$32,案件管理!$F$5:$F$104,"&lt;="&amp;判定基準!$B$33,案件管理!$G$5:$G$104,"&lt;="&amp;判定基準!$B$34,案件管理!$D$5:$D$104,"&lt;&gt;"&amp;判定基準!$B$35)</f>
        <v/>
      </c>
      <c r="V22" s="37">
        <f>COUNTIFS(案件管理!$AD$5:$AD$104,"&gt;="&amp;DATE(2027,2,1),案件管理!$AD$5:$AD$104,"&lt;"&amp;DATE(2027,3,1),案件管理!$AE$5:$AE$104,$A22)</f>
        <v/>
      </c>
      <c r="W22" s="37">
        <f>COUNTIFS(案件管理!$AD$5:$AD$104,"&gt;="&amp;DATE(2027,2,1),案件管理!$AD$5:$AD$104,"&lt;"&amp;DATE(2027,3,1),案件管理!$AE$5:$AE$104,$A22,案件管理!$F$5:$F$104,"&gt;="&amp;判定基準!$B$32,案件管理!$F$5:$F$104,"&lt;="&amp;判定基準!$B$33,案件管理!$G$5:$G$104,"&lt;="&amp;判定基準!$B$34,案件管理!$D$5:$D$104,"&lt;&gt;"&amp;判定基準!$B$35)</f>
        <v/>
      </c>
      <c r="X22" s="37">
        <f>COUNTIFS(案件管理!$AD$5:$AD$104,"&gt;="&amp;DATE(2027,3,1),案件管理!$AD$5:$AD$104,"&lt;"&amp;DATE(2027,4,1),案件管理!$AE$5:$AE$104,$A22)</f>
        <v/>
      </c>
      <c r="Y22" s="37">
        <f>COUNTIFS(案件管理!$AD$5:$AD$104,"&gt;="&amp;DATE(2027,3,1),案件管理!$AD$5:$AD$104,"&lt;"&amp;DATE(2027,4,1),案件管理!$AE$5:$AE$104,$A22,案件管理!$F$5:$F$104,"&gt;="&amp;判定基準!$B$32,案件管理!$F$5:$F$104,"&lt;="&amp;判定基準!$B$33,案件管理!$G$5:$G$104,"&lt;="&amp;判定基準!$B$34,案件管理!$D$5:$D$104,"&lt;&gt;"&amp;判定基準!$B$35)</f>
        <v/>
      </c>
      <c r="Z22" s="37">
        <f>COUNTIFS(案件管理!$AD$5:$AD$104,"&gt;="&amp;DATE(2027,4,1),案件管理!$AD$5:$AD$104,"&lt;"&amp;DATE(2027,5,1),案件管理!$AE$5:$AE$104,$A22)</f>
        <v/>
      </c>
      <c r="AA22" s="37">
        <f>COUNTIFS(案件管理!$AD$5:$AD$104,"&gt;="&amp;DATE(2027,4,1),案件管理!$AD$5:$AD$104,"&lt;"&amp;DATE(2027,5,1),案件管理!$AE$5:$AE$104,$A22,案件管理!$F$5:$F$104,"&gt;="&amp;判定基準!$B$32,案件管理!$F$5:$F$104,"&lt;="&amp;判定基準!$B$33,案件管理!$G$5:$G$104,"&lt;="&amp;判定基準!$B$34,案件管理!$D$5:$D$104,"&lt;&gt;"&amp;判定基準!$B$35)</f>
        <v/>
      </c>
      <c r="AB22" s="37">
        <f>COUNTIFS(案件管理!$AD$5:$AD$104,"&gt;="&amp;DATE(2027,5,1),案件管理!$AD$5:$AD$104,"&lt;"&amp;DATE(2027,6,1),案件管理!$AE$5:$AE$104,$A22)</f>
        <v/>
      </c>
      <c r="AC22" s="37">
        <f>COUNTIFS(案件管理!$AD$5:$AD$104,"&gt;="&amp;DATE(2027,5,1),案件管理!$AD$5:$AD$104,"&lt;"&amp;DATE(2027,6,1),案件管理!$AE$5:$AE$104,$A22,案件管理!$F$5:$F$104,"&gt;="&amp;判定基準!$B$32,案件管理!$F$5:$F$104,"&lt;="&amp;判定基準!$B$33,案件管理!$G$5:$G$104,"&lt;="&amp;判定基準!$B$34,案件管理!$D$5:$D$104,"&lt;&gt;"&amp;判定基準!$B$35)</f>
        <v/>
      </c>
      <c r="AD22" s="37">
        <f>COUNTIFS(案件管理!$AD$5:$AD$104,"&gt;="&amp;DATE(2027,6,1),案件管理!$AD$5:$AD$104,"&lt;"&amp;DATE(2027,7,1),案件管理!$AE$5:$AE$104,$A22)</f>
        <v/>
      </c>
      <c r="AE22" s="37">
        <f>COUNTIFS(案件管理!$AD$5:$AD$104,"&gt;="&amp;DATE(2027,6,1),案件管理!$AD$5:$AD$104,"&lt;"&amp;DATE(2027,7,1),案件管理!$AE$5:$AE$104,$A22,案件管理!$F$5:$F$104,"&gt;="&amp;判定基準!$B$32,案件管理!$F$5:$F$104,"&lt;="&amp;判定基準!$B$33,案件管理!$G$5:$G$104,"&lt;="&amp;判定基準!$B$34,案件管理!$D$5:$D$104,"&lt;&gt;"&amp;判定基準!$B$35)</f>
        <v/>
      </c>
      <c r="AF22" s="37">
        <f>COUNTIFS(案件管理!$AD$5:$AD$104,"&gt;="&amp;DATE(2027,7,1),案件管理!$AD$5:$AD$104,"&lt;"&amp;DATE(2027,8,1),案件管理!$AE$5:$AE$104,$A22)</f>
        <v/>
      </c>
      <c r="AG22" s="37">
        <f>COUNTIFS(案件管理!$AD$5:$AD$104,"&gt;="&amp;DATE(2027,7,1),案件管理!$AD$5:$AD$104,"&lt;"&amp;DATE(2027,8,1),案件管理!$AE$5:$AE$104,$A22,案件管理!$F$5:$F$104,"&gt;="&amp;判定基準!$B$32,案件管理!$F$5:$F$104,"&lt;="&amp;判定基準!$B$33,案件管理!$G$5:$G$104,"&lt;="&amp;判定基準!$B$34,案件管理!$D$5:$D$104,"&lt;&gt;"&amp;判定基準!$B$35)</f>
        <v/>
      </c>
      <c r="AH22" s="37">
        <f>COUNTIFS(案件管理!$AD$5:$AD$104,"&gt;="&amp;DATE(2027,8,1),案件管理!$AD$5:$AD$104,"&lt;"&amp;DATE(2027,9,1),案件管理!$AE$5:$AE$104,$A22)</f>
        <v/>
      </c>
      <c r="AI22" s="37">
        <f>COUNTIFS(案件管理!$AD$5:$AD$104,"&gt;="&amp;DATE(2027,8,1),案件管理!$AD$5:$AD$104,"&lt;"&amp;DATE(2027,9,1),案件管理!$AE$5:$AE$104,$A22,案件管理!$F$5:$F$104,"&gt;="&amp;判定基準!$B$32,案件管理!$F$5:$F$104,"&lt;="&amp;判定基準!$B$33,案件管理!$G$5:$G$104,"&lt;="&amp;判定基準!$B$34,案件管理!$D$5:$D$104,"&lt;&gt;"&amp;判定基準!$B$35)</f>
        <v/>
      </c>
      <c r="AJ22" s="37">
        <f>L22+N22+P22+R22+T22+V22+X22+Z22+AB22+AD22+AF22+AH22</f>
        <v/>
      </c>
      <c r="AK22" s="37">
        <f>M22+O22+Q22+S22+U22+W22+Y22+AA22+AC22+AE22+AG22+AI22</f>
        <v/>
      </c>
      <c r="AL22" s="38">
        <f>IF(AJ22=0,"",AK22/AJ22)</f>
        <v/>
      </c>
    </row>
    <row r="23">
      <c r="A23" s="23" t="inlineStr">
        <is>
          <t>株式会社ウィルゲート</t>
        </is>
      </c>
      <c r="B23" s="17" t="n"/>
      <c r="C23" s="23" t="inlineStr">
        <is>
          <t>C</t>
        </is>
      </c>
      <c r="D23" s="23" t="inlineStr">
        <is>
          <t>日下部</t>
        </is>
      </c>
      <c r="E23" s="23" t="n"/>
      <c r="F23" s="22" t="n">
        <v>46283</v>
      </c>
      <c r="G23" s="20" t="n"/>
      <c r="H23" s="23" t="n"/>
      <c r="I23" s="23" t="n"/>
      <c r="J23" s="23" t="n"/>
      <c r="K23" s="23" t="n"/>
      <c r="L23" s="37">
        <f>COUNTIFS(案件管理!$AD$5:$AD$104,"&gt;="&amp;DATE(2026,9,1),案件管理!$AD$5:$AD$104,"&lt;"&amp;DATE(2026,10,1),案件管理!$AE$5:$AE$104,$A23)</f>
        <v/>
      </c>
      <c r="M23" s="37">
        <f>COUNTIFS(案件管理!$AD$5:$AD$104,"&gt;="&amp;DATE(2026,9,1),案件管理!$AD$5:$AD$104,"&lt;"&amp;DATE(2026,10,1),案件管理!$AE$5:$AE$104,$A23,案件管理!$F$5:$F$104,"&gt;="&amp;判定基準!$B$32,案件管理!$F$5:$F$104,"&lt;="&amp;判定基準!$B$33,案件管理!$G$5:$G$104,"&lt;="&amp;判定基準!$B$34,案件管理!$D$5:$D$104,"&lt;&gt;"&amp;判定基準!$B$35)</f>
        <v/>
      </c>
      <c r="N23" s="37">
        <f>COUNTIFS(案件管理!$AD$5:$AD$104,"&gt;="&amp;DATE(2026,10,1),案件管理!$AD$5:$AD$104,"&lt;"&amp;DATE(2026,11,1),案件管理!$AE$5:$AE$104,$A23)</f>
        <v/>
      </c>
      <c r="O23" s="37">
        <f>COUNTIFS(案件管理!$AD$5:$AD$104,"&gt;="&amp;DATE(2026,10,1),案件管理!$AD$5:$AD$104,"&lt;"&amp;DATE(2026,11,1),案件管理!$AE$5:$AE$104,$A23,案件管理!$F$5:$F$104,"&gt;="&amp;判定基準!$B$32,案件管理!$F$5:$F$104,"&lt;="&amp;判定基準!$B$33,案件管理!$G$5:$G$104,"&lt;="&amp;判定基準!$B$34,案件管理!$D$5:$D$104,"&lt;&gt;"&amp;判定基準!$B$35)</f>
        <v/>
      </c>
      <c r="P23" s="37">
        <f>COUNTIFS(案件管理!$AD$5:$AD$104,"&gt;="&amp;DATE(2026,11,1),案件管理!$AD$5:$AD$104,"&lt;"&amp;DATE(2026,12,1),案件管理!$AE$5:$AE$104,$A23)</f>
        <v/>
      </c>
      <c r="Q23" s="37">
        <f>COUNTIFS(案件管理!$AD$5:$AD$104,"&gt;="&amp;DATE(2026,11,1),案件管理!$AD$5:$AD$104,"&lt;"&amp;DATE(2026,12,1),案件管理!$AE$5:$AE$104,$A23,案件管理!$F$5:$F$104,"&gt;="&amp;判定基準!$B$32,案件管理!$F$5:$F$104,"&lt;="&amp;判定基準!$B$33,案件管理!$G$5:$G$104,"&lt;="&amp;判定基準!$B$34,案件管理!$D$5:$D$104,"&lt;&gt;"&amp;判定基準!$B$35)</f>
        <v/>
      </c>
      <c r="R23" s="37">
        <f>COUNTIFS(案件管理!$AD$5:$AD$104,"&gt;="&amp;DATE(2026,12,1),案件管理!$AD$5:$AD$104,"&lt;"&amp;DATE(2027,1,1),案件管理!$AE$5:$AE$104,$A23)</f>
        <v/>
      </c>
      <c r="S23" s="37">
        <f>COUNTIFS(案件管理!$AD$5:$AD$104,"&gt;="&amp;DATE(2026,12,1),案件管理!$AD$5:$AD$104,"&lt;"&amp;DATE(2027,1,1),案件管理!$AE$5:$AE$104,$A23,案件管理!$F$5:$F$104,"&gt;="&amp;判定基準!$B$32,案件管理!$F$5:$F$104,"&lt;="&amp;判定基準!$B$33,案件管理!$G$5:$G$104,"&lt;="&amp;判定基準!$B$34,案件管理!$D$5:$D$104,"&lt;&gt;"&amp;判定基準!$B$35)</f>
        <v/>
      </c>
      <c r="T23" s="37">
        <f>COUNTIFS(案件管理!$AD$5:$AD$104,"&gt;="&amp;DATE(2027,1,1),案件管理!$AD$5:$AD$104,"&lt;"&amp;DATE(2027,2,1),案件管理!$AE$5:$AE$104,$A23)</f>
        <v/>
      </c>
      <c r="U23" s="37">
        <f>COUNTIFS(案件管理!$AD$5:$AD$104,"&gt;="&amp;DATE(2027,1,1),案件管理!$AD$5:$AD$104,"&lt;"&amp;DATE(2027,2,1),案件管理!$AE$5:$AE$104,$A23,案件管理!$F$5:$F$104,"&gt;="&amp;判定基準!$B$32,案件管理!$F$5:$F$104,"&lt;="&amp;判定基準!$B$33,案件管理!$G$5:$G$104,"&lt;="&amp;判定基準!$B$34,案件管理!$D$5:$D$104,"&lt;&gt;"&amp;判定基準!$B$35)</f>
        <v/>
      </c>
      <c r="V23" s="37">
        <f>COUNTIFS(案件管理!$AD$5:$AD$104,"&gt;="&amp;DATE(2027,2,1),案件管理!$AD$5:$AD$104,"&lt;"&amp;DATE(2027,3,1),案件管理!$AE$5:$AE$104,$A23)</f>
        <v/>
      </c>
      <c r="W23" s="37">
        <f>COUNTIFS(案件管理!$AD$5:$AD$104,"&gt;="&amp;DATE(2027,2,1),案件管理!$AD$5:$AD$104,"&lt;"&amp;DATE(2027,3,1),案件管理!$AE$5:$AE$104,$A23,案件管理!$F$5:$F$104,"&gt;="&amp;判定基準!$B$32,案件管理!$F$5:$F$104,"&lt;="&amp;判定基準!$B$33,案件管理!$G$5:$G$104,"&lt;="&amp;判定基準!$B$34,案件管理!$D$5:$D$104,"&lt;&gt;"&amp;判定基準!$B$35)</f>
        <v/>
      </c>
      <c r="X23" s="37">
        <f>COUNTIFS(案件管理!$AD$5:$AD$104,"&gt;="&amp;DATE(2027,3,1),案件管理!$AD$5:$AD$104,"&lt;"&amp;DATE(2027,4,1),案件管理!$AE$5:$AE$104,$A23)</f>
        <v/>
      </c>
      <c r="Y23" s="37">
        <f>COUNTIFS(案件管理!$AD$5:$AD$104,"&gt;="&amp;DATE(2027,3,1),案件管理!$AD$5:$AD$104,"&lt;"&amp;DATE(2027,4,1),案件管理!$AE$5:$AE$104,$A23,案件管理!$F$5:$F$104,"&gt;="&amp;判定基準!$B$32,案件管理!$F$5:$F$104,"&lt;="&amp;判定基準!$B$33,案件管理!$G$5:$G$104,"&lt;="&amp;判定基準!$B$34,案件管理!$D$5:$D$104,"&lt;&gt;"&amp;判定基準!$B$35)</f>
        <v/>
      </c>
      <c r="Z23" s="37">
        <f>COUNTIFS(案件管理!$AD$5:$AD$104,"&gt;="&amp;DATE(2027,4,1),案件管理!$AD$5:$AD$104,"&lt;"&amp;DATE(2027,5,1),案件管理!$AE$5:$AE$104,$A23)</f>
        <v/>
      </c>
      <c r="AA23" s="37">
        <f>COUNTIFS(案件管理!$AD$5:$AD$104,"&gt;="&amp;DATE(2027,4,1),案件管理!$AD$5:$AD$104,"&lt;"&amp;DATE(2027,5,1),案件管理!$AE$5:$AE$104,$A23,案件管理!$F$5:$F$104,"&gt;="&amp;判定基準!$B$32,案件管理!$F$5:$F$104,"&lt;="&amp;判定基準!$B$33,案件管理!$G$5:$G$104,"&lt;="&amp;判定基準!$B$34,案件管理!$D$5:$D$104,"&lt;&gt;"&amp;判定基準!$B$35)</f>
        <v/>
      </c>
      <c r="AB23" s="37">
        <f>COUNTIFS(案件管理!$AD$5:$AD$104,"&gt;="&amp;DATE(2027,5,1),案件管理!$AD$5:$AD$104,"&lt;"&amp;DATE(2027,6,1),案件管理!$AE$5:$AE$104,$A23)</f>
        <v/>
      </c>
      <c r="AC23" s="37">
        <f>COUNTIFS(案件管理!$AD$5:$AD$104,"&gt;="&amp;DATE(2027,5,1),案件管理!$AD$5:$AD$104,"&lt;"&amp;DATE(2027,6,1),案件管理!$AE$5:$AE$104,$A23,案件管理!$F$5:$F$104,"&gt;="&amp;判定基準!$B$32,案件管理!$F$5:$F$104,"&lt;="&amp;判定基準!$B$33,案件管理!$G$5:$G$104,"&lt;="&amp;判定基準!$B$34,案件管理!$D$5:$D$104,"&lt;&gt;"&amp;判定基準!$B$35)</f>
        <v/>
      </c>
      <c r="AD23" s="37">
        <f>COUNTIFS(案件管理!$AD$5:$AD$104,"&gt;="&amp;DATE(2027,6,1),案件管理!$AD$5:$AD$104,"&lt;"&amp;DATE(2027,7,1),案件管理!$AE$5:$AE$104,$A23)</f>
        <v/>
      </c>
      <c r="AE23" s="37">
        <f>COUNTIFS(案件管理!$AD$5:$AD$104,"&gt;="&amp;DATE(2027,6,1),案件管理!$AD$5:$AD$104,"&lt;"&amp;DATE(2027,7,1),案件管理!$AE$5:$AE$104,$A23,案件管理!$F$5:$F$104,"&gt;="&amp;判定基準!$B$32,案件管理!$F$5:$F$104,"&lt;="&amp;判定基準!$B$33,案件管理!$G$5:$G$104,"&lt;="&amp;判定基準!$B$34,案件管理!$D$5:$D$104,"&lt;&gt;"&amp;判定基準!$B$35)</f>
        <v/>
      </c>
      <c r="AF23" s="37">
        <f>COUNTIFS(案件管理!$AD$5:$AD$104,"&gt;="&amp;DATE(2027,7,1),案件管理!$AD$5:$AD$104,"&lt;"&amp;DATE(2027,8,1),案件管理!$AE$5:$AE$104,$A23)</f>
        <v/>
      </c>
      <c r="AG23" s="37">
        <f>COUNTIFS(案件管理!$AD$5:$AD$104,"&gt;="&amp;DATE(2027,7,1),案件管理!$AD$5:$AD$104,"&lt;"&amp;DATE(2027,8,1),案件管理!$AE$5:$AE$104,$A23,案件管理!$F$5:$F$104,"&gt;="&amp;判定基準!$B$32,案件管理!$F$5:$F$104,"&lt;="&amp;判定基準!$B$33,案件管理!$G$5:$G$104,"&lt;="&amp;判定基準!$B$34,案件管理!$D$5:$D$104,"&lt;&gt;"&amp;判定基準!$B$35)</f>
        <v/>
      </c>
      <c r="AH23" s="37">
        <f>COUNTIFS(案件管理!$AD$5:$AD$104,"&gt;="&amp;DATE(2027,8,1),案件管理!$AD$5:$AD$104,"&lt;"&amp;DATE(2027,9,1),案件管理!$AE$5:$AE$104,$A23)</f>
        <v/>
      </c>
      <c r="AI23" s="37">
        <f>COUNTIFS(案件管理!$AD$5:$AD$104,"&gt;="&amp;DATE(2027,8,1),案件管理!$AD$5:$AD$104,"&lt;"&amp;DATE(2027,9,1),案件管理!$AE$5:$AE$104,$A23,案件管理!$F$5:$F$104,"&gt;="&amp;判定基準!$B$32,案件管理!$F$5:$F$104,"&lt;="&amp;判定基準!$B$33,案件管理!$G$5:$G$104,"&lt;="&amp;判定基準!$B$34,案件管理!$D$5:$D$104,"&lt;&gt;"&amp;判定基準!$B$35)</f>
        <v/>
      </c>
      <c r="AJ23" s="37">
        <f>L23+N23+P23+R23+T23+V23+X23+Z23+AB23+AD23+AF23+AH23</f>
        <v/>
      </c>
      <c r="AK23" s="37">
        <f>M23+O23+Q23+S23+U23+W23+Y23+AA23+AC23+AE23+AG23+AI23</f>
        <v/>
      </c>
      <c r="AL23" s="38">
        <f>IF(AJ23=0,"",AK23/AJ23)</f>
        <v/>
      </c>
    </row>
    <row r="24">
      <c r="A24" s="23" t="inlineStr">
        <is>
          <t>バディーズ株式会社</t>
        </is>
      </c>
      <c r="B24" s="17" t="n"/>
      <c r="C24" s="23" t="n"/>
      <c r="D24" s="23" t="inlineStr">
        <is>
          <t>上石</t>
        </is>
      </c>
      <c r="E24" s="23" t="n"/>
      <c r="F24" s="23" t="n"/>
      <c r="G24" s="20" t="n"/>
      <c r="H24" s="23" t="n"/>
      <c r="I24" s="23" t="n"/>
      <c r="J24" s="23" t="n"/>
      <c r="K24" s="23" t="n"/>
      <c r="L24" s="37">
        <f>COUNTIFS(案件管理!$AD$5:$AD$104,"&gt;="&amp;DATE(2026,9,1),案件管理!$AD$5:$AD$104,"&lt;"&amp;DATE(2026,10,1),案件管理!$AE$5:$AE$104,$A24)</f>
        <v/>
      </c>
      <c r="M24" s="37">
        <f>COUNTIFS(案件管理!$AD$5:$AD$104,"&gt;="&amp;DATE(2026,9,1),案件管理!$AD$5:$AD$104,"&lt;"&amp;DATE(2026,10,1),案件管理!$AE$5:$AE$104,$A24,案件管理!$F$5:$F$104,"&gt;="&amp;判定基準!$B$32,案件管理!$F$5:$F$104,"&lt;="&amp;判定基準!$B$33,案件管理!$G$5:$G$104,"&lt;="&amp;判定基準!$B$34,案件管理!$D$5:$D$104,"&lt;&gt;"&amp;判定基準!$B$35)</f>
        <v/>
      </c>
      <c r="N24" s="37">
        <f>COUNTIFS(案件管理!$AD$5:$AD$104,"&gt;="&amp;DATE(2026,10,1),案件管理!$AD$5:$AD$104,"&lt;"&amp;DATE(2026,11,1),案件管理!$AE$5:$AE$104,$A24)</f>
        <v/>
      </c>
      <c r="O24" s="37">
        <f>COUNTIFS(案件管理!$AD$5:$AD$104,"&gt;="&amp;DATE(2026,10,1),案件管理!$AD$5:$AD$104,"&lt;"&amp;DATE(2026,11,1),案件管理!$AE$5:$AE$104,$A24,案件管理!$F$5:$F$104,"&gt;="&amp;判定基準!$B$32,案件管理!$F$5:$F$104,"&lt;="&amp;判定基準!$B$33,案件管理!$G$5:$G$104,"&lt;="&amp;判定基準!$B$34,案件管理!$D$5:$D$104,"&lt;&gt;"&amp;判定基準!$B$35)</f>
        <v/>
      </c>
      <c r="P24" s="37">
        <f>COUNTIFS(案件管理!$AD$5:$AD$104,"&gt;="&amp;DATE(2026,11,1),案件管理!$AD$5:$AD$104,"&lt;"&amp;DATE(2026,12,1),案件管理!$AE$5:$AE$104,$A24)</f>
        <v/>
      </c>
      <c r="Q24" s="37">
        <f>COUNTIFS(案件管理!$AD$5:$AD$104,"&gt;="&amp;DATE(2026,11,1),案件管理!$AD$5:$AD$104,"&lt;"&amp;DATE(2026,12,1),案件管理!$AE$5:$AE$104,$A24,案件管理!$F$5:$F$104,"&gt;="&amp;判定基準!$B$32,案件管理!$F$5:$F$104,"&lt;="&amp;判定基準!$B$33,案件管理!$G$5:$G$104,"&lt;="&amp;判定基準!$B$34,案件管理!$D$5:$D$104,"&lt;&gt;"&amp;判定基準!$B$35)</f>
        <v/>
      </c>
      <c r="R24" s="37">
        <f>COUNTIFS(案件管理!$AD$5:$AD$104,"&gt;="&amp;DATE(2026,12,1),案件管理!$AD$5:$AD$104,"&lt;"&amp;DATE(2027,1,1),案件管理!$AE$5:$AE$104,$A24)</f>
        <v/>
      </c>
      <c r="S24" s="37">
        <f>COUNTIFS(案件管理!$AD$5:$AD$104,"&gt;="&amp;DATE(2026,12,1),案件管理!$AD$5:$AD$104,"&lt;"&amp;DATE(2027,1,1),案件管理!$AE$5:$AE$104,$A24,案件管理!$F$5:$F$104,"&gt;="&amp;判定基準!$B$32,案件管理!$F$5:$F$104,"&lt;="&amp;判定基準!$B$33,案件管理!$G$5:$G$104,"&lt;="&amp;判定基準!$B$34,案件管理!$D$5:$D$104,"&lt;&gt;"&amp;判定基準!$B$35)</f>
        <v/>
      </c>
      <c r="T24" s="37">
        <f>COUNTIFS(案件管理!$AD$5:$AD$104,"&gt;="&amp;DATE(2027,1,1),案件管理!$AD$5:$AD$104,"&lt;"&amp;DATE(2027,2,1),案件管理!$AE$5:$AE$104,$A24)</f>
        <v/>
      </c>
      <c r="U24" s="37">
        <f>COUNTIFS(案件管理!$AD$5:$AD$104,"&gt;="&amp;DATE(2027,1,1),案件管理!$AD$5:$AD$104,"&lt;"&amp;DATE(2027,2,1),案件管理!$AE$5:$AE$104,$A24,案件管理!$F$5:$F$104,"&gt;="&amp;判定基準!$B$32,案件管理!$F$5:$F$104,"&lt;="&amp;判定基準!$B$33,案件管理!$G$5:$G$104,"&lt;="&amp;判定基準!$B$34,案件管理!$D$5:$D$104,"&lt;&gt;"&amp;判定基準!$B$35)</f>
        <v/>
      </c>
      <c r="V24" s="37">
        <f>COUNTIFS(案件管理!$AD$5:$AD$104,"&gt;="&amp;DATE(2027,2,1),案件管理!$AD$5:$AD$104,"&lt;"&amp;DATE(2027,3,1),案件管理!$AE$5:$AE$104,$A24)</f>
        <v/>
      </c>
      <c r="W24" s="37">
        <f>COUNTIFS(案件管理!$AD$5:$AD$104,"&gt;="&amp;DATE(2027,2,1),案件管理!$AD$5:$AD$104,"&lt;"&amp;DATE(2027,3,1),案件管理!$AE$5:$AE$104,$A24,案件管理!$F$5:$F$104,"&gt;="&amp;判定基準!$B$32,案件管理!$F$5:$F$104,"&lt;="&amp;判定基準!$B$33,案件管理!$G$5:$G$104,"&lt;="&amp;判定基準!$B$34,案件管理!$D$5:$D$104,"&lt;&gt;"&amp;判定基準!$B$35)</f>
        <v/>
      </c>
      <c r="X24" s="37">
        <f>COUNTIFS(案件管理!$AD$5:$AD$104,"&gt;="&amp;DATE(2027,3,1),案件管理!$AD$5:$AD$104,"&lt;"&amp;DATE(2027,4,1),案件管理!$AE$5:$AE$104,$A24)</f>
        <v/>
      </c>
      <c r="Y24" s="37">
        <f>COUNTIFS(案件管理!$AD$5:$AD$104,"&gt;="&amp;DATE(2027,3,1),案件管理!$AD$5:$AD$104,"&lt;"&amp;DATE(2027,4,1),案件管理!$AE$5:$AE$104,$A24,案件管理!$F$5:$F$104,"&gt;="&amp;判定基準!$B$32,案件管理!$F$5:$F$104,"&lt;="&amp;判定基準!$B$33,案件管理!$G$5:$G$104,"&lt;="&amp;判定基準!$B$34,案件管理!$D$5:$D$104,"&lt;&gt;"&amp;判定基準!$B$35)</f>
        <v/>
      </c>
      <c r="Z24" s="37">
        <f>COUNTIFS(案件管理!$AD$5:$AD$104,"&gt;="&amp;DATE(2027,4,1),案件管理!$AD$5:$AD$104,"&lt;"&amp;DATE(2027,5,1),案件管理!$AE$5:$AE$104,$A24)</f>
        <v/>
      </c>
      <c r="AA24" s="37">
        <f>COUNTIFS(案件管理!$AD$5:$AD$104,"&gt;="&amp;DATE(2027,4,1),案件管理!$AD$5:$AD$104,"&lt;"&amp;DATE(2027,5,1),案件管理!$AE$5:$AE$104,$A24,案件管理!$F$5:$F$104,"&gt;="&amp;判定基準!$B$32,案件管理!$F$5:$F$104,"&lt;="&amp;判定基準!$B$33,案件管理!$G$5:$G$104,"&lt;="&amp;判定基準!$B$34,案件管理!$D$5:$D$104,"&lt;&gt;"&amp;判定基準!$B$35)</f>
        <v/>
      </c>
      <c r="AB24" s="37">
        <f>COUNTIFS(案件管理!$AD$5:$AD$104,"&gt;="&amp;DATE(2027,5,1),案件管理!$AD$5:$AD$104,"&lt;"&amp;DATE(2027,6,1),案件管理!$AE$5:$AE$104,$A24)</f>
        <v/>
      </c>
      <c r="AC24" s="37">
        <f>COUNTIFS(案件管理!$AD$5:$AD$104,"&gt;="&amp;DATE(2027,5,1),案件管理!$AD$5:$AD$104,"&lt;"&amp;DATE(2027,6,1),案件管理!$AE$5:$AE$104,$A24,案件管理!$F$5:$F$104,"&gt;="&amp;判定基準!$B$32,案件管理!$F$5:$F$104,"&lt;="&amp;判定基準!$B$33,案件管理!$G$5:$G$104,"&lt;="&amp;判定基準!$B$34,案件管理!$D$5:$D$104,"&lt;&gt;"&amp;判定基準!$B$35)</f>
        <v/>
      </c>
      <c r="AD24" s="37">
        <f>COUNTIFS(案件管理!$AD$5:$AD$104,"&gt;="&amp;DATE(2027,6,1),案件管理!$AD$5:$AD$104,"&lt;"&amp;DATE(2027,7,1),案件管理!$AE$5:$AE$104,$A24)</f>
        <v/>
      </c>
      <c r="AE24" s="37">
        <f>COUNTIFS(案件管理!$AD$5:$AD$104,"&gt;="&amp;DATE(2027,6,1),案件管理!$AD$5:$AD$104,"&lt;"&amp;DATE(2027,7,1),案件管理!$AE$5:$AE$104,$A24,案件管理!$F$5:$F$104,"&gt;="&amp;判定基準!$B$32,案件管理!$F$5:$F$104,"&lt;="&amp;判定基準!$B$33,案件管理!$G$5:$G$104,"&lt;="&amp;判定基準!$B$34,案件管理!$D$5:$D$104,"&lt;&gt;"&amp;判定基準!$B$35)</f>
        <v/>
      </c>
      <c r="AF24" s="37">
        <f>COUNTIFS(案件管理!$AD$5:$AD$104,"&gt;="&amp;DATE(2027,7,1),案件管理!$AD$5:$AD$104,"&lt;"&amp;DATE(2027,8,1),案件管理!$AE$5:$AE$104,$A24)</f>
        <v/>
      </c>
      <c r="AG24" s="37">
        <f>COUNTIFS(案件管理!$AD$5:$AD$104,"&gt;="&amp;DATE(2027,7,1),案件管理!$AD$5:$AD$104,"&lt;"&amp;DATE(2027,8,1),案件管理!$AE$5:$AE$104,$A24,案件管理!$F$5:$F$104,"&gt;="&amp;判定基準!$B$32,案件管理!$F$5:$F$104,"&lt;="&amp;判定基準!$B$33,案件管理!$G$5:$G$104,"&lt;="&amp;判定基準!$B$34,案件管理!$D$5:$D$104,"&lt;&gt;"&amp;判定基準!$B$35)</f>
        <v/>
      </c>
      <c r="AH24" s="37">
        <f>COUNTIFS(案件管理!$AD$5:$AD$104,"&gt;="&amp;DATE(2027,8,1),案件管理!$AD$5:$AD$104,"&lt;"&amp;DATE(2027,9,1),案件管理!$AE$5:$AE$104,$A24)</f>
        <v/>
      </c>
      <c r="AI24" s="37">
        <f>COUNTIFS(案件管理!$AD$5:$AD$104,"&gt;="&amp;DATE(2027,8,1),案件管理!$AD$5:$AD$104,"&lt;"&amp;DATE(2027,9,1),案件管理!$AE$5:$AE$104,$A24,案件管理!$F$5:$F$104,"&gt;="&amp;判定基準!$B$32,案件管理!$F$5:$F$104,"&lt;="&amp;判定基準!$B$33,案件管理!$G$5:$G$104,"&lt;="&amp;判定基準!$B$34,案件管理!$D$5:$D$104,"&lt;&gt;"&amp;判定基準!$B$35)</f>
        <v/>
      </c>
      <c r="AJ24" s="37">
        <f>L24+N24+P24+R24+T24+V24+X24+Z24+AB24+AD24+AF24+AH24</f>
        <v/>
      </c>
      <c r="AK24" s="37">
        <f>M24+O24+Q24+S24+U24+W24+Y24+AA24+AC24+AE24+AG24+AI24</f>
        <v/>
      </c>
      <c r="AL24" s="38">
        <f>IF(AJ24=0,"",AK24/AJ24)</f>
        <v/>
      </c>
    </row>
    <row r="25">
      <c r="A25" s="23" t="inlineStr">
        <is>
          <t>株式会社M&amp;A総合研究所</t>
        </is>
      </c>
      <c r="B25" s="17" t="n"/>
      <c r="C25" s="23" t="inlineStr">
        <is>
          <t>A</t>
        </is>
      </c>
      <c r="D25" s="23" t="inlineStr">
        <is>
          <t>都築</t>
        </is>
      </c>
      <c r="E25" s="23" t="n"/>
      <c r="F25" s="22" t="n">
        <v>46279</v>
      </c>
      <c r="G25" s="20" t="n"/>
      <c r="H25" s="23" t="n"/>
      <c r="I25" s="23" t="n"/>
      <c r="J25" s="23" t="n"/>
      <c r="K25" s="23" t="n"/>
      <c r="L25" s="37">
        <f>COUNTIFS(案件管理!$AD$5:$AD$104,"&gt;="&amp;DATE(2026,9,1),案件管理!$AD$5:$AD$104,"&lt;"&amp;DATE(2026,10,1),案件管理!$AE$5:$AE$104,$A25)</f>
        <v/>
      </c>
      <c r="M25" s="37">
        <f>COUNTIFS(案件管理!$AD$5:$AD$104,"&gt;="&amp;DATE(2026,9,1),案件管理!$AD$5:$AD$104,"&lt;"&amp;DATE(2026,10,1),案件管理!$AE$5:$AE$104,$A25,案件管理!$F$5:$F$104,"&gt;="&amp;判定基準!$B$32,案件管理!$F$5:$F$104,"&lt;="&amp;判定基準!$B$33,案件管理!$G$5:$G$104,"&lt;="&amp;判定基準!$B$34,案件管理!$D$5:$D$104,"&lt;&gt;"&amp;判定基準!$B$35)</f>
        <v/>
      </c>
      <c r="N25" s="37">
        <f>COUNTIFS(案件管理!$AD$5:$AD$104,"&gt;="&amp;DATE(2026,10,1),案件管理!$AD$5:$AD$104,"&lt;"&amp;DATE(2026,11,1),案件管理!$AE$5:$AE$104,$A25)</f>
        <v/>
      </c>
      <c r="O25" s="37">
        <f>COUNTIFS(案件管理!$AD$5:$AD$104,"&gt;="&amp;DATE(2026,10,1),案件管理!$AD$5:$AD$104,"&lt;"&amp;DATE(2026,11,1),案件管理!$AE$5:$AE$104,$A25,案件管理!$F$5:$F$104,"&gt;="&amp;判定基準!$B$32,案件管理!$F$5:$F$104,"&lt;="&amp;判定基準!$B$33,案件管理!$G$5:$G$104,"&lt;="&amp;判定基準!$B$34,案件管理!$D$5:$D$104,"&lt;&gt;"&amp;判定基準!$B$35)</f>
        <v/>
      </c>
      <c r="P25" s="37">
        <f>COUNTIFS(案件管理!$AD$5:$AD$104,"&gt;="&amp;DATE(2026,11,1),案件管理!$AD$5:$AD$104,"&lt;"&amp;DATE(2026,12,1),案件管理!$AE$5:$AE$104,$A25)</f>
        <v/>
      </c>
      <c r="Q25" s="37">
        <f>COUNTIFS(案件管理!$AD$5:$AD$104,"&gt;="&amp;DATE(2026,11,1),案件管理!$AD$5:$AD$104,"&lt;"&amp;DATE(2026,12,1),案件管理!$AE$5:$AE$104,$A25,案件管理!$F$5:$F$104,"&gt;="&amp;判定基準!$B$32,案件管理!$F$5:$F$104,"&lt;="&amp;判定基準!$B$33,案件管理!$G$5:$G$104,"&lt;="&amp;判定基準!$B$34,案件管理!$D$5:$D$104,"&lt;&gt;"&amp;判定基準!$B$35)</f>
        <v/>
      </c>
      <c r="R25" s="37">
        <f>COUNTIFS(案件管理!$AD$5:$AD$104,"&gt;="&amp;DATE(2026,12,1),案件管理!$AD$5:$AD$104,"&lt;"&amp;DATE(2027,1,1),案件管理!$AE$5:$AE$104,$A25)</f>
        <v/>
      </c>
      <c r="S25" s="37">
        <f>COUNTIFS(案件管理!$AD$5:$AD$104,"&gt;="&amp;DATE(2026,12,1),案件管理!$AD$5:$AD$104,"&lt;"&amp;DATE(2027,1,1),案件管理!$AE$5:$AE$104,$A25,案件管理!$F$5:$F$104,"&gt;="&amp;判定基準!$B$32,案件管理!$F$5:$F$104,"&lt;="&amp;判定基準!$B$33,案件管理!$G$5:$G$104,"&lt;="&amp;判定基準!$B$34,案件管理!$D$5:$D$104,"&lt;&gt;"&amp;判定基準!$B$35)</f>
        <v/>
      </c>
      <c r="T25" s="37">
        <f>COUNTIFS(案件管理!$AD$5:$AD$104,"&gt;="&amp;DATE(2027,1,1),案件管理!$AD$5:$AD$104,"&lt;"&amp;DATE(2027,2,1),案件管理!$AE$5:$AE$104,$A25)</f>
        <v/>
      </c>
      <c r="U25" s="37">
        <f>COUNTIFS(案件管理!$AD$5:$AD$104,"&gt;="&amp;DATE(2027,1,1),案件管理!$AD$5:$AD$104,"&lt;"&amp;DATE(2027,2,1),案件管理!$AE$5:$AE$104,$A25,案件管理!$F$5:$F$104,"&gt;="&amp;判定基準!$B$32,案件管理!$F$5:$F$104,"&lt;="&amp;判定基準!$B$33,案件管理!$G$5:$G$104,"&lt;="&amp;判定基準!$B$34,案件管理!$D$5:$D$104,"&lt;&gt;"&amp;判定基準!$B$35)</f>
        <v/>
      </c>
      <c r="V25" s="37">
        <f>COUNTIFS(案件管理!$AD$5:$AD$104,"&gt;="&amp;DATE(2027,2,1),案件管理!$AD$5:$AD$104,"&lt;"&amp;DATE(2027,3,1),案件管理!$AE$5:$AE$104,$A25)</f>
        <v/>
      </c>
      <c r="W25" s="37">
        <f>COUNTIFS(案件管理!$AD$5:$AD$104,"&gt;="&amp;DATE(2027,2,1),案件管理!$AD$5:$AD$104,"&lt;"&amp;DATE(2027,3,1),案件管理!$AE$5:$AE$104,$A25,案件管理!$F$5:$F$104,"&gt;="&amp;判定基準!$B$32,案件管理!$F$5:$F$104,"&lt;="&amp;判定基準!$B$33,案件管理!$G$5:$G$104,"&lt;="&amp;判定基準!$B$34,案件管理!$D$5:$D$104,"&lt;&gt;"&amp;判定基準!$B$35)</f>
        <v/>
      </c>
      <c r="X25" s="37">
        <f>COUNTIFS(案件管理!$AD$5:$AD$104,"&gt;="&amp;DATE(2027,3,1),案件管理!$AD$5:$AD$104,"&lt;"&amp;DATE(2027,4,1),案件管理!$AE$5:$AE$104,$A25)</f>
        <v/>
      </c>
      <c r="Y25" s="37">
        <f>COUNTIFS(案件管理!$AD$5:$AD$104,"&gt;="&amp;DATE(2027,3,1),案件管理!$AD$5:$AD$104,"&lt;"&amp;DATE(2027,4,1),案件管理!$AE$5:$AE$104,$A25,案件管理!$F$5:$F$104,"&gt;="&amp;判定基準!$B$32,案件管理!$F$5:$F$104,"&lt;="&amp;判定基準!$B$33,案件管理!$G$5:$G$104,"&lt;="&amp;判定基準!$B$34,案件管理!$D$5:$D$104,"&lt;&gt;"&amp;判定基準!$B$35)</f>
        <v/>
      </c>
      <c r="Z25" s="37">
        <f>COUNTIFS(案件管理!$AD$5:$AD$104,"&gt;="&amp;DATE(2027,4,1),案件管理!$AD$5:$AD$104,"&lt;"&amp;DATE(2027,5,1),案件管理!$AE$5:$AE$104,$A25)</f>
        <v/>
      </c>
      <c r="AA25" s="37">
        <f>COUNTIFS(案件管理!$AD$5:$AD$104,"&gt;="&amp;DATE(2027,4,1),案件管理!$AD$5:$AD$104,"&lt;"&amp;DATE(2027,5,1),案件管理!$AE$5:$AE$104,$A25,案件管理!$F$5:$F$104,"&gt;="&amp;判定基準!$B$32,案件管理!$F$5:$F$104,"&lt;="&amp;判定基準!$B$33,案件管理!$G$5:$G$104,"&lt;="&amp;判定基準!$B$34,案件管理!$D$5:$D$104,"&lt;&gt;"&amp;判定基準!$B$35)</f>
        <v/>
      </c>
      <c r="AB25" s="37">
        <f>COUNTIFS(案件管理!$AD$5:$AD$104,"&gt;="&amp;DATE(2027,5,1),案件管理!$AD$5:$AD$104,"&lt;"&amp;DATE(2027,6,1),案件管理!$AE$5:$AE$104,$A25)</f>
        <v/>
      </c>
      <c r="AC25" s="37">
        <f>COUNTIFS(案件管理!$AD$5:$AD$104,"&gt;="&amp;DATE(2027,5,1),案件管理!$AD$5:$AD$104,"&lt;"&amp;DATE(2027,6,1),案件管理!$AE$5:$AE$104,$A25,案件管理!$F$5:$F$104,"&gt;="&amp;判定基準!$B$32,案件管理!$F$5:$F$104,"&lt;="&amp;判定基準!$B$33,案件管理!$G$5:$G$104,"&lt;="&amp;判定基準!$B$34,案件管理!$D$5:$D$104,"&lt;&gt;"&amp;判定基準!$B$35)</f>
        <v/>
      </c>
      <c r="AD25" s="37">
        <f>COUNTIFS(案件管理!$AD$5:$AD$104,"&gt;="&amp;DATE(2027,6,1),案件管理!$AD$5:$AD$104,"&lt;"&amp;DATE(2027,7,1),案件管理!$AE$5:$AE$104,$A25)</f>
        <v/>
      </c>
      <c r="AE25" s="37">
        <f>COUNTIFS(案件管理!$AD$5:$AD$104,"&gt;="&amp;DATE(2027,6,1),案件管理!$AD$5:$AD$104,"&lt;"&amp;DATE(2027,7,1),案件管理!$AE$5:$AE$104,$A25,案件管理!$F$5:$F$104,"&gt;="&amp;判定基準!$B$32,案件管理!$F$5:$F$104,"&lt;="&amp;判定基準!$B$33,案件管理!$G$5:$G$104,"&lt;="&amp;判定基準!$B$34,案件管理!$D$5:$D$104,"&lt;&gt;"&amp;判定基準!$B$35)</f>
        <v/>
      </c>
      <c r="AF25" s="37">
        <f>COUNTIFS(案件管理!$AD$5:$AD$104,"&gt;="&amp;DATE(2027,7,1),案件管理!$AD$5:$AD$104,"&lt;"&amp;DATE(2027,8,1),案件管理!$AE$5:$AE$104,$A25)</f>
        <v/>
      </c>
      <c r="AG25" s="37">
        <f>COUNTIFS(案件管理!$AD$5:$AD$104,"&gt;="&amp;DATE(2027,7,1),案件管理!$AD$5:$AD$104,"&lt;"&amp;DATE(2027,8,1),案件管理!$AE$5:$AE$104,$A25,案件管理!$F$5:$F$104,"&gt;="&amp;判定基準!$B$32,案件管理!$F$5:$F$104,"&lt;="&amp;判定基準!$B$33,案件管理!$G$5:$G$104,"&lt;="&amp;判定基準!$B$34,案件管理!$D$5:$D$104,"&lt;&gt;"&amp;判定基準!$B$35)</f>
        <v/>
      </c>
      <c r="AH25" s="37">
        <f>COUNTIFS(案件管理!$AD$5:$AD$104,"&gt;="&amp;DATE(2027,8,1),案件管理!$AD$5:$AD$104,"&lt;"&amp;DATE(2027,9,1),案件管理!$AE$5:$AE$104,$A25)</f>
        <v/>
      </c>
      <c r="AI25" s="37">
        <f>COUNTIFS(案件管理!$AD$5:$AD$104,"&gt;="&amp;DATE(2027,8,1),案件管理!$AD$5:$AD$104,"&lt;"&amp;DATE(2027,9,1),案件管理!$AE$5:$AE$104,$A25,案件管理!$F$5:$F$104,"&gt;="&amp;判定基準!$B$32,案件管理!$F$5:$F$104,"&lt;="&amp;判定基準!$B$33,案件管理!$G$5:$G$104,"&lt;="&amp;判定基準!$B$34,案件管理!$D$5:$D$104,"&lt;&gt;"&amp;判定基準!$B$35)</f>
        <v/>
      </c>
      <c r="AJ25" s="37">
        <f>L25+N25+P25+R25+T25+V25+X25+Z25+AB25+AD25+AF25+AH25</f>
        <v/>
      </c>
      <c r="AK25" s="37">
        <f>M25+O25+Q25+S25+U25+W25+Y25+AA25+AC25+AE25+AG25+AI25</f>
        <v/>
      </c>
      <c r="AL25" s="38">
        <f>IF(AJ25=0,"",AK25/AJ25)</f>
        <v/>
      </c>
    </row>
    <row r="26">
      <c r="A26" s="23" t="inlineStr">
        <is>
          <t>株式会社M&amp;A承継機構</t>
        </is>
      </c>
      <c r="B26" s="17" t="n"/>
      <c r="C26" s="23" t="inlineStr">
        <is>
          <t>C</t>
        </is>
      </c>
      <c r="D26" s="23" t="inlineStr">
        <is>
          <t>根萩</t>
        </is>
      </c>
      <c r="E26" s="23" t="n"/>
      <c r="F26" s="22" t="n">
        <v>46279</v>
      </c>
      <c r="G26" s="20" t="n"/>
      <c r="H26" s="23" t="n"/>
      <c r="I26" s="23" t="n"/>
      <c r="J26" s="23" t="n"/>
      <c r="K26" s="23" t="n"/>
      <c r="L26" s="37">
        <f>COUNTIFS(案件管理!$AD$5:$AD$104,"&gt;="&amp;DATE(2026,9,1),案件管理!$AD$5:$AD$104,"&lt;"&amp;DATE(2026,10,1),案件管理!$AE$5:$AE$104,$A26)</f>
        <v/>
      </c>
      <c r="M26" s="37">
        <f>COUNTIFS(案件管理!$AD$5:$AD$104,"&gt;="&amp;DATE(2026,9,1),案件管理!$AD$5:$AD$104,"&lt;"&amp;DATE(2026,10,1),案件管理!$AE$5:$AE$104,$A26,案件管理!$F$5:$F$104,"&gt;="&amp;判定基準!$B$32,案件管理!$F$5:$F$104,"&lt;="&amp;判定基準!$B$33,案件管理!$G$5:$G$104,"&lt;="&amp;判定基準!$B$34,案件管理!$D$5:$D$104,"&lt;&gt;"&amp;判定基準!$B$35)</f>
        <v/>
      </c>
      <c r="N26" s="37">
        <f>COUNTIFS(案件管理!$AD$5:$AD$104,"&gt;="&amp;DATE(2026,10,1),案件管理!$AD$5:$AD$104,"&lt;"&amp;DATE(2026,11,1),案件管理!$AE$5:$AE$104,$A26)</f>
        <v/>
      </c>
      <c r="O26" s="37">
        <f>COUNTIFS(案件管理!$AD$5:$AD$104,"&gt;="&amp;DATE(2026,10,1),案件管理!$AD$5:$AD$104,"&lt;"&amp;DATE(2026,11,1),案件管理!$AE$5:$AE$104,$A26,案件管理!$F$5:$F$104,"&gt;="&amp;判定基準!$B$32,案件管理!$F$5:$F$104,"&lt;="&amp;判定基準!$B$33,案件管理!$G$5:$G$104,"&lt;="&amp;判定基準!$B$34,案件管理!$D$5:$D$104,"&lt;&gt;"&amp;判定基準!$B$35)</f>
        <v/>
      </c>
      <c r="P26" s="37">
        <f>COUNTIFS(案件管理!$AD$5:$AD$104,"&gt;="&amp;DATE(2026,11,1),案件管理!$AD$5:$AD$104,"&lt;"&amp;DATE(2026,12,1),案件管理!$AE$5:$AE$104,$A26)</f>
        <v/>
      </c>
      <c r="Q26" s="37">
        <f>COUNTIFS(案件管理!$AD$5:$AD$104,"&gt;="&amp;DATE(2026,11,1),案件管理!$AD$5:$AD$104,"&lt;"&amp;DATE(2026,12,1),案件管理!$AE$5:$AE$104,$A26,案件管理!$F$5:$F$104,"&gt;="&amp;判定基準!$B$32,案件管理!$F$5:$F$104,"&lt;="&amp;判定基準!$B$33,案件管理!$G$5:$G$104,"&lt;="&amp;判定基準!$B$34,案件管理!$D$5:$D$104,"&lt;&gt;"&amp;判定基準!$B$35)</f>
        <v/>
      </c>
      <c r="R26" s="37">
        <f>COUNTIFS(案件管理!$AD$5:$AD$104,"&gt;="&amp;DATE(2026,12,1),案件管理!$AD$5:$AD$104,"&lt;"&amp;DATE(2027,1,1),案件管理!$AE$5:$AE$104,$A26)</f>
        <v/>
      </c>
      <c r="S26" s="37">
        <f>COUNTIFS(案件管理!$AD$5:$AD$104,"&gt;="&amp;DATE(2026,12,1),案件管理!$AD$5:$AD$104,"&lt;"&amp;DATE(2027,1,1),案件管理!$AE$5:$AE$104,$A26,案件管理!$F$5:$F$104,"&gt;="&amp;判定基準!$B$32,案件管理!$F$5:$F$104,"&lt;="&amp;判定基準!$B$33,案件管理!$G$5:$G$104,"&lt;="&amp;判定基準!$B$34,案件管理!$D$5:$D$104,"&lt;&gt;"&amp;判定基準!$B$35)</f>
        <v/>
      </c>
      <c r="T26" s="37">
        <f>COUNTIFS(案件管理!$AD$5:$AD$104,"&gt;="&amp;DATE(2027,1,1),案件管理!$AD$5:$AD$104,"&lt;"&amp;DATE(2027,2,1),案件管理!$AE$5:$AE$104,$A26)</f>
        <v/>
      </c>
      <c r="U26" s="37">
        <f>COUNTIFS(案件管理!$AD$5:$AD$104,"&gt;="&amp;DATE(2027,1,1),案件管理!$AD$5:$AD$104,"&lt;"&amp;DATE(2027,2,1),案件管理!$AE$5:$AE$104,$A26,案件管理!$F$5:$F$104,"&gt;="&amp;判定基準!$B$32,案件管理!$F$5:$F$104,"&lt;="&amp;判定基準!$B$33,案件管理!$G$5:$G$104,"&lt;="&amp;判定基準!$B$34,案件管理!$D$5:$D$104,"&lt;&gt;"&amp;判定基準!$B$35)</f>
        <v/>
      </c>
      <c r="V26" s="37">
        <f>COUNTIFS(案件管理!$AD$5:$AD$104,"&gt;="&amp;DATE(2027,2,1),案件管理!$AD$5:$AD$104,"&lt;"&amp;DATE(2027,3,1),案件管理!$AE$5:$AE$104,$A26)</f>
        <v/>
      </c>
      <c r="W26" s="37">
        <f>COUNTIFS(案件管理!$AD$5:$AD$104,"&gt;="&amp;DATE(2027,2,1),案件管理!$AD$5:$AD$104,"&lt;"&amp;DATE(2027,3,1),案件管理!$AE$5:$AE$104,$A26,案件管理!$F$5:$F$104,"&gt;="&amp;判定基準!$B$32,案件管理!$F$5:$F$104,"&lt;="&amp;判定基準!$B$33,案件管理!$G$5:$G$104,"&lt;="&amp;判定基準!$B$34,案件管理!$D$5:$D$104,"&lt;&gt;"&amp;判定基準!$B$35)</f>
        <v/>
      </c>
      <c r="X26" s="37">
        <f>COUNTIFS(案件管理!$AD$5:$AD$104,"&gt;="&amp;DATE(2027,3,1),案件管理!$AD$5:$AD$104,"&lt;"&amp;DATE(2027,4,1),案件管理!$AE$5:$AE$104,$A26)</f>
        <v/>
      </c>
      <c r="Y26" s="37">
        <f>COUNTIFS(案件管理!$AD$5:$AD$104,"&gt;="&amp;DATE(2027,3,1),案件管理!$AD$5:$AD$104,"&lt;"&amp;DATE(2027,4,1),案件管理!$AE$5:$AE$104,$A26,案件管理!$F$5:$F$104,"&gt;="&amp;判定基準!$B$32,案件管理!$F$5:$F$104,"&lt;="&amp;判定基準!$B$33,案件管理!$G$5:$G$104,"&lt;="&amp;判定基準!$B$34,案件管理!$D$5:$D$104,"&lt;&gt;"&amp;判定基準!$B$35)</f>
        <v/>
      </c>
      <c r="Z26" s="37">
        <f>COUNTIFS(案件管理!$AD$5:$AD$104,"&gt;="&amp;DATE(2027,4,1),案件管理!$AD$5:$AD$104,"&lt;"&amp;DATE(2027,5,1),案件管理!$AE$5:$AE$104,$A26)</f>
        <v/>
      </c>
      <c r="AA26" s="37">
        <f>COUNTIFS(案件管理!$AD$5:$AD$104,"&gt;="&amp;DATE(2027,4,1),案件管理!$AD$5:$AD$104,"&lt;"&amp;DATE(2027,5,1),案件管理!$AE$5:$AE$104,$A26,案件管理!$F$5:$F$104,"&gt;="&amp;判定基準!$B$32,案件管理!$F$5:$F$104,"&lt;="&amp;判定基準!$B$33,案件管理!$G$5:$G$104,"&lt;="&amp;判定基準!$B$34,案件管理!$D$5:$D$104,"&lt;&gt;"&amp;判定基準!$B$35)</f>
        <v/>
      </c>
      <c r="AB26" s="37">
        <f>COUNTIFS(案件管理!$AD$5:$AD$104,"&gt;="&amp;DATE(2027,5,1),案件管理!$AD$5:$AD$104,"&lt;"&amp;DATE(2027,6,1),案件管理!$AE$5:$AE$104,$A26)</f>
        <v/>
      </c>
      <c r="AC26" s="37">
        <f>COUNTIFS(案件管理!$AD$5:$AD$104,"&gt;="&amp;DATE(2027,5,1),案件管理!$AD$5:$AD$104,"&lt;"&amp;DATE(2027,6,1),案件管理!$AE$5:$AE$104,$A26,案件管理!$F$5:$F$104,"&gt;="&amp;判定基準!$B$32,案件管理!$F$5:$F$104,"&lt;="&amp;判定基準!$B$33,案件管理!$G$5:$G$104,"&lt;="&amp;判定基準!$B$34,案件管理!$D$5:$D$104,"&lt;&gt;"&amp;判定基準!$B$35)</f>
        <v/>
      </c>
      <c r="AD26" s="37">
        <f>COUNTIFS(案件管理!$AD$5:$AD$104,"&gt;="&amp;DATE(2027,6,1),案件管理!$AD$5:$AD$104,"&lt;"&amp;DATE(2027,7,1),案件管理!$AE$5:$AE$104,$A26)</f>
        <v/>
      </c>
      <c r="AE26" s="37">
        <f>COUNTIFS(案件管理!$AD$5:$AD$104,"&gt;="&amp;DATE(2027,6,1),案件管理!$AD$5:$AD$104,"&lt;"&amp;DATE(2027,7,1),案件管理!$AE$5:$AE$104,$A26,案件管理!$F$5:$F$104,"&gt;="&amp;判定基準!$B$32,案件管理!$F$5:$F$104,"&lt;="&amp;判定基準!$B$33,案件管理!$G$5:$G$104,"&lt;="&amp;判定基準!$B$34,案件管理!$D$5:$D$104,"&lt;&gt;"&amp;判定基準!$B$35)</f>
        <v/>
      </c>
      <c r="AF26" s="37">
        <f>COUNTIFS(案件管理!$AD$5:$AD$104,"&gt;="&amp;DATE(2027,7,1),案件管理!$AD$5:$AD$104,"&lt;"&amp;DATE(2027,8,1),案件管理!$AE$5:$AE$104,$A26)</f>
        <v/>
      </c>
      <c r="AG26" s="37">
        <f>COUNTIFS(案件管理!$AD$5:$AD$104,"&gt;="&amp;DATE(2027,7,1),案件管理!$AD$5:$AD$104,"&lt;"&amp;DATE(2027,8,1),案件管理!$AE$5:$AE$104,$A26,案件管理!$F$5:$F$104,"&gt;="&amp;判定基準!$B$32,案件管理!$F$5:$F$104,"&lt;="&amp;判定基準!$B$33,案件管理!$G$5:$G$104,"&lt;="&amp;判定基準!$B$34,案件管理!$D$5:$D$104,"&lt;&gt;"&amp;判定基準!$B$35)</f>
        <v/>
      </c>
      <c r="AH26" s="37">
        <f>COUNTIFS(案件管理!$AD$5:$AD$104,"&gt;="&amp;DATE(2027,8,1),案件管理!$AD$5:$AD$104,"&lt;"&amp;DATE(2027,9,1),案件管理!$AE$5:$AE$104,$A26)</f>
        <v/>
      </c>
      <c r="AI26" s="37">
        <f>COUNTIFS(案件管理!$AD$5:$AD$104,"&gt;="&amp;DATE(2027,8,1),案件管理!$AD$5:$AD$104,"&lt;"&amp;DATE(2027,9,1),案件管理!$AE$5:$AE$104,$A26,案件管理!$F$5:$F$104,"&gt;="&amp;判定基準!$B$32,案件管理!$F$5:$F$104,"&lt;="&amp;判定基準!$B$33,案件管理!$G$5:$G$104,"&lt;="&amp;判定基準!$B$34,案件管理!$D$5:$D$104,"&lt;&gt;"&amp;判定基準!$B$35)</f>
        <v/>
      </c>
      <c r="AJ26" s="37">
        <f>L26+N26+P26+R26+T26+V26+X26+Z26+AB26+AD26+AF26+AH26</f>
        <v/>
      </c>
      <c r="AK26" s="37">
        <f>M26+O26+Q26+S26+U26+W26+Y26+AA26+AC26+AE26+AG26+AI26</f>
        <v/>
      </c>
      <c r="AL26" s="38">
        <f>IF(AJ26=0,"",AK26/AJ26)</f>
        <v/>
      </c>
    </row>
    <row r="27">
      <c r="A27" s="23" t="inlineStr">
        <is>
          <t>名南M&amp;A株式会社</t>
        </is>
      </c>
      <c r="B27" s="17" t="n"/>
      <c r="C27" s="23" t="inlineStr">
        <is>
          <t>C</t>
        </is>
      </c>
      <c r="D27" s="23" t="inlineStr">
        <is>
          <t>村山</t>
        </is>
      </c>
      <c r="E27" s="22" t="n">
        <v>46267</v>
      </c>
      <c r="F27" s="23" t="n"/>
      <c r="G27" s="20" t="n"/>
      <c r="H27" s="23" t="n"/>
      <c r="I27" s="23" t="n"/>
      <c r="J27" s="23" t="n"/>
      <c r="K27" s="23" t="n"/>
      <c r="L27" s="37">
        <f>COUNTIFS(案件管理!$AD$5:$AD$104,"&gt;="&amp;DATE(2026,9,1),案件管理!$AD$5:$AD$104,"&lt;"&amp;DATE(2026,10,1),案件管理!$AE$5:$AE$104,$A27)</f>
        <v/>
      </c>
      <c r="M27" s="37">
        <f>COUNTIFS(案件管理!$AD$5:$AD$104,"&gt;="&amp;DATE(2026,9,1),案件管理!$AD$5:$AD$104,"&lt;"&amp;DATE(2026,10,1),案件管理!$AE$5:$AE$104,$A27,案件管理!$F$5:$F$104,"&gt;="&amp;判定基準!$B$32,案件管理!$F$5:$F$104,"&lt;="&amp;判定基準!$B$33,案件管理!$G$5:$G$104,"&lt;="&amp;判定基準!$B$34,案件管理!$D$5:$D$104,"&lt;&gt;"&amp;判定基準!$B$35)</f>
        <v/>
      </c>
      <c r="N27" s="37">
        <f>COUNTIFS(案件管理!$AD$5:$AD$104,"&gt;="&amp;DATE(2026,10,1),案件管理!$AD$5:$AD$104,"&lt;"&amp;DATE(2026,11,1),案件管理!$AE$5:$AE$104,$A27)</f>
        <v/>
      </c>
      <c r="O27" s="37">
        <f>COUNTIFS(案件管理!$AD$5:$AD$104,"&gt;="&amp;DATE(2026,10,1),案件管理!$AD$5:$AD$104,"&lt;"&amp;DATE(2026,11,1),案件管理!$AE$5:$AE$104,$A27,案件管理!$F$5:$F$104,"&gt;="&amp;判定基準!$B$32,案件管理!$F$5:$F$104,"&lt;="&amp;判定基準!$B$33,案件管理!$G$5:$G$104,"&lt;="&amp;判定基準!$B$34,案件管理!$D$5:$D$104,"&lt;&gt;"&amp;判定基準!$B$35)</f>
        <v/>
      </c>
      <c r="P27" s="37">
        <f>COUNTIFS(案件管理!$AD$5:$AD$104,"&gt;="&amp;DATE(2026,11,1),案件管理!$AD$5:$AD$104,"&lt;"&amp;DATE(2026,12,1),案件管理!$AE$5:$AE$104,$A27)</f>
        <v/>
      </c>
      <c r="Q27" s="37">
        <f>COUNTIFS(案件管理!$AD$5:$AD$104,"&gt;="&amp;DATE(2026,11,1),案件管理!$AD$5:$AD$104,"&lt;"&amp;DATE(2026,12,1),案件管理!$AE$5:$AE$104,$A27,案件管理!$F$5:$F$104,"&gt;="&amp;判定基準!$B$32,案件管理!$F$5:$F$104,"&lt;="&amp;判定基準!$B$33,案件管理!$G$5:$G$104,"&lt;="&amp;判定基準!$B$34,案件管理!$D$5:$D$104,"&lt;&gt;"&amp;判定基準!$B$35)</f>
        <v/>
      </c>
      <c r="R27" s="37">
        <f>COUNTIFS(案件管理!$AD$5:$AD$104,"&gt;="&amp;DATE(2026,12,1),案件管理!$AD$5:$AD$104,"&lt;"&amp;DATE(2027,1,1),案件管理!$AE$5:$AE$104,$A27)</f>
        <v/>
      </c>
      <c r="S27" s="37">
        <f>COUNTIFS(案件管理!$AD$5:$AD$104,"&gt;="&amp;DATE(2026,12,1),案件管理!$AD$5:$AD$104,"&lt;"&amp;DATE(2027,1,1),案件管理!$AE$5:$AE$104,$A27,案件管理!$F$5:$F$104,"&gt;="&amp;判定基準!$B$32,案件管理!$F$5:$F$104,"&lt;="&amp;判定基準!$B$33,案件管理!$G$5:$G$104,"&lt;="&amp;判定基準!$B$34,案件管理!$D$5:$D$104,"&lt;&gt;"&amp;判定基準!$B$35)</f>
        <v/>
      </c>
      <c r="T27" s="37">
        <f>COUNTIFS(案件管理!$AD$5:$AD$104,"&gt;="&amp;DATE(2027,1,1),案件管理!$AD$5:$AD$104,"&lt;"&amp;DATE(2027,2,1),案件管理!$AE$5:$AE$104,$A27)</f>
        <v/>
      </c>
      <c r="U27" s="37">
        <f>COUNTIFS(案件管理!$AD$5:$AD$104,"&gt;="&amp;DATE(2027,1,1),案件管理!$AD$5:$AD$104,"&lt;"&amp;DATE(2027,2,1),案件管理!$AE$5:$AE$104,$A27,案件管理!$F$5:$F$104,"&gt;="&amp;判定基準!$B$32,案件管理!$F$5:$F$104,"&lt;="&amp;判定基準!$B$33,案件管理!$G$5:$G$104,"&lt;="&amp;判定基準!$B$34,案件管理!$D$5:$D$104,"&lt;&gt;"&amp;判定基準!$B$35)</f>
        <v/>
      </c>
      <c r="V27" s="37">
        <f>COUNTIFS(案件管理!$AD$5:$AD$104,"&gt;="&amp;DATE(2027,2,1),案件管理!$AD$5:$AD$104,"&lt;"&amp;DATE(2027,3,1),案件管理!$AE$5:$AE$104,$A27)</f>
        <v/>
      </c>
      <c r="W27" s="37">
        <f>COUNTIFS(案件管理!$AD$5:$AD$104,"&gt;="&amp;DATE(2027,2,1),案件管理!$AD$5:$AD$104,"&lt;"&amp;DATE(2027,3,1),案件管理!$AE$5:$AE$104,$A27,案件管理!$F$5:$F$104,"&gt;="&amp;判定基準!$B$32,案件管理!$F$5:$F$104,"&lt;="&amp;判定基準!$B$33,案件管理!$G$5:$G$104,"&lt;="&amp;判定基準!$B$34,案件管理!$D$5:$D$104,"&lt;&gt;"&amp;判定基準!$B$35)</f>
        <v/>
      </c>
      <c r="X27" s="37">
        <f>COUNTIFS(案件管理!$AD$5:$AD$104,"&gt;="&amp;DATE(2027,3,1),案件管理!$AD$5:$AD$104,"&lt;"&amp;DATE(2027,4,1),案件管理!$AE$5:$AE$104,$A27)</f>
        <v/>
      </c>
      <c r="Y27" s="37">
        <f>COUNTIFS(案件管理!$AD$5:$AD$104,"&gt;="&amp;DATE(2027,3,1),案件管理!$AD$5:$AD$104,"&lt;"&amp;DATE(2027,4,1),案件管理!$AE$5:$AE$104,$A27,案件管理!$F$5:$F$104,"&gt;="&amp;判定基準!$B$32,案件管理!$F$5:$F$104,"&lt;="&amp;判定基準!$B$33,案件管理!$G$5:$G$104,"&lt;="&amp;判定基準!$B$34,案件管理!$D$5:$D$104,"&lt;&gt;"&amp;判定基準!$B$35)</f>
        <v/>
      </c>
      <c r="Z27" s="37">
        <f>COUNTIFS(案件管理!$AD$5:$AD$104,"&gt;="&amp;DATE(2027,4,1),案件管理!$AD$5:$AD$104,"&lt;"&amp;DATE(2027,5,1),案件管理!$AE$5:$AE$104,$A27)</f>
        <v/>
      </c>
      <c r="AA27" s="37">
        <f>COUNTIFS(案件管理!$AD$5:$AD$104,"&gt;="&amp;DATE(2027,4,1),案件管理!$AD$5:$AD$104,"&lt;"&amp;DATE(2027,5,1),案件管理!$AE$5:$AE$104,$A27,案件管理!$F$5:$F$104,"&gt;="&amp;判定基準!$B$32,案件管理!$F$5:$F$104,"&lt;="&amp;判定基準!$B$33,案件管理!$G$5:$G$104,"&lt;="&amp;判定基準!$B$34,案件管理!$D$5:$D$104,"&lt;&gt;"&amp;判定基準!$B$35)</f>
        <v/>
      </c>
      <c r="AB27" s="37">
        <f>COUNTIFS(案件管理!$AD$5:$AD$104,"&gt;="&amp;DATE(2027,5,1),案件管理!$AD$5:$AD$104,"&lt;"&amp;DATE(2027,6,1),案件管理!$AE$5:$AE$104,$A27)</f>
        <v/>
      </c>
      <c r="AC27" s="37">
        <f>COUNTIFS(案件管理!$AD$5:$AD$104,"&gt;="&amp;DATE(2027,5,1),案件管理!$AD$5:$AD$104,"&lt;"&amp;DATE(2027,6,1),案件管理!$AE$5:$AE$104,$A27,案件管理!$F$5:$F$104,"&gt;="&amp;判定基準!$B$32,案件管理!$F$5:$F$104,"&lt;="&amp;判定基準!$B$33,案件管理!$G$5:$G$104,"&lt;="&amp;判定基準!$B$34,案件管理!$D$5:$D$104,"&lt;&gt;"&amp;判定基準!$B$35)</f>
        <v/>
      </c>
      <c r="AD27" s="37">
        <f>COUNTIFS(案件管理!$AD$5:$AD$104,"&gt;="&amp;DATE(2027,6,1),案件管理!$AD$5:$AD$104,"&lt;"&amp;DATE(2027,7,1),案件管理!$AE$5:$AE$104,$A27)</f>
        <v/>
      </c>
      <c r="AE27" s="37">
        <f>COUNTIFS(案件管理!$AD$5:$AD$104,"&gt;="&amp;DATE(2027,6,1),案件管理!$AD$5:$AD$104,"&lt;"&amp;DATE(2027,7,1),案件管理!$AE$5:$AE$104,$A27,案件管理!$F$5:$F$104,"&gt;="&amp;判定基準!$B$32,案件管理!$F$5:$F$104,"&lt;="&amp;判定基準!$B$33,案件管理!$G$5:$G$104,"&lt;="&amp;判定基準!$B$34,案件管理!$D$5:$D$104,"&lt;&gt;"&amp;判定基準!$B$35)</f>
        <v/>
      </c>
      <c r="AF27" s="37">
        <f>COUNTIFS(案件管理!$AD$5:$AD$104,"&gt;="&amp;DATE(2027,7,1),案件管理!$AD$5:$AD$104,"&lt;"&amp;DATE(2027,8,1),案件管理!$AE$5:$AE$104,$A27)</f>
        <v/>
      </c>
      <c r="AG27" s="37">
        <f>COUNTIFS(案件管理!$AD$5:$AD$104,"&gt;="&amp;DATE(2027,7,1),案件管理!$AD$5:$AD$104,"&lt;"&amp;DATE(2027,8,1),案件管理!$AE$5:$AE$104,$A27,案件管理!$F$5:$F$104,"&gt;="&amp;判定基準!$B$32,案件管理!$F$5:$F$104,"&lt;="&amp;判定基準!$B$33,案件管理!$G$5:$G$104,"&lt;="&amp;判定基準!$B$34,案件管理!$D$5:$D$104,"&lt;&gt;"&amp;判定基準!$B$35)</f>
        <v/>
      </c>
      <c r="AH27" s="37">
        <f>COUNTIFS(案件管理!$AD$5:$AD$104,"&gt;="&amp;DATE(2027,8,1),案件管理!$AD$5:$AD$104,"&lt;"&amp;DATE(2027,9,1),案件管理!$AE$5:$AE$104,$A27)</f>
        <v/>
      </c>
      <c r="AI27" s="37">
        <f>COUNTIFS(案件管理!$AD$5:$AD$104,"&gt;="&amp;DATE(2027,8,1),案件管理!$AD$5:$AD$104,"&lt;"&amp;DATE(2027,9,1),案件管理!$AE$5:$AE$104,$A27,案件管理!$F$5:$F$104,"&gt;="&amp;判定基準!$B$32,案件管理!$F$5:$F$104,"&lt;="&amp;判定基準!$B$33,案件管理!$G$5:$G$104,"&lt;="&amp;判定基準!$B$34,案件管理!$D$5:$D$104,"&lt;&gt;"&amp;判定基準!$B$35)</f>
        <v/>
      </c>
      <c r="AJ27" s="37">
        <f>L27+N27+P27+R27+T27+V27+X27+Z27+AB27+AD27+AF27+AH27</f>
        <v/>
      </c>
      <c r="AK27" s="37">
        <f>M27+O27+Q27+S27+U27+W27+Y27+AA27+AC27+AE27+AG27+AI27</f>
        <v/>
      </c>
      <c r="AL27" s="38">
        <f>IF(AJ27=0,"",AK27/AJ27)</f>
        <v/>
      </c>
    </row>
    <row r="28">
      <c r="A28" s="23" t="inlineStr">
        <is>
          <t>株式会社HCフィナンシャル・アドバイザー</t>
        </is>
      </c>
      <c r="B28" s="17" t="n"/>
      <c r="C28" s="23" t="inlineStr">
        <is>
          <t>C</t>
        </is>
      </c>
      <c r="D28" s="23" t="inlineStr">
        <is>
          <t>土屋</t>
        </is>
      </c>
      <c r="E28" s="23" t="n"/>
      <c r="F28" s="23" t="n"/>
      <c r="G28" s="20" t="n"/>
      <c r="H28" s="23" t="n"/>
      <c r="I28" s="23" t="n"/>
      <c r="J28" s="23" t="n"/>
      <c r="K28" s="23" t="n"/>
      <c r="L28" s="37">
        <f>COUNTIFS(案件管理!$AD$5:$AD$104,"&gt;="&amp;DATE(2026,9,1),案件管理!$AD$5:$AD$104,"&lt;"&amp;DATE(2026,10,1),案件管理!$AE$5:$AE$104,$A28)</f>
        <v/>
      </c>
      <c r="M28" s="37">
        <f>COUNTIFS(案件管理!$AD$5:$AD$104,"&gt;="&amp;DATE(2026,9,1),案件管理!$AD$5:$AD$104,"&lt;"&amp;DATE(2026,10,1),案件管理!$AE$5:$AE$104,$A28,案件管理!$F$5:$F$104,"&gt;="&amp;判定基準!$B$32,案件管理!$F$5:$F$104,"&lt;="&amp;判定基準!$B$33,案件管理!$G$5:$G$104,"&lt;="&amp;判定基準!$B$34,案件管理!$D$5:$D$104,"&lt;&gt;"&amp;判定基準!$B$35)</f>
        <v/>
      </c>
      <c r="N28" s="37">
        <f>COUNTIFS(案件管理!$AD$5:$AD$104,"&gt;="&amp;DATE(2026,10,1),案件管理!$AD$5:$AD$104,"&lt;"&amp;DATE(2026,11,1),案件管理!$AE$5:$AE$104,$A28)</f>
        <v/>
      </c>
      <c r="O28" s="37">
        <f>COUNTIFS(案件管理!$AD$5:$AD$104,"&gt;="&amp;DATE(2026,10,1),案件管理!$AD$5:$AD$104,"&lt;"&amp;DATE(2026,11,1),案件管理!$AE$5:$AE$104,$A28,案件管理!$F$5:$F$104,"&gt;="&amp;判定基準!$B$32,案件管理!$F$5:$F$104,"&lt;="&amp;判定基準!$B$33,案件管理!$G$5:$G$104,"&lt;="&amp;判定基準!$B$34,案件管理!$D$5:$D$104,"&lt;&gt;"&amp;判定基準!$B$35)</f>
        <v/>
      </c>
      <c r="P28" s="37">
        <f>COUNTIFS(案件管理!$AD$5:$AD$104,"&gt;="&amp;DATE(2026,11,1),案件管理!$AD$5:$AD$104,"&lt;"&amp;DATE(2026,12,1),案件管理!$AE$5:$AE$104,$A28)</f>
        <v/>
      </c>
      <c r="Q28" s="37">
        <f>COUNTIFS(案件管理!$AD$5:$AD$104,"&gt;="&amp;DATE(2026,11,1),案件管理!$AD$5:$AD$104,"&lt;"&amp;DATE(2026,12,1),案件管理!$AE$5:$AE$104,$A28,案件管理!$F$5:$F$104,"&gt;="&amp;判定基準!$B$32,案件管理!$F$5:$F$104,"&lt;="&amp;判定基準!$B$33,案件管理!$G$5:$G$104,"&lt;="&amp;判定基準!$B$34,案件管理!$D$5:$D$104,"&lt;&gt;"&amp;判定基準!$B$35)</f>
        <v/>
      </c>
      <c r="R28" s="37">
        <f>COUNTIFS(案件管理!$AD$5:$AD$104,"&gt;="&amp;DATE(2026,12,1),案件管理!$AD$5:$AD$104,"&lt;"&amp;DATE(2027,1,1),案件管理!$AE$5:$AE$104,$A28)</f>
        <v/>
      </c>
      <c r="S28" s="37">
        <f>COUNTIFS(案件管理!$AD$5:$AD$104,"&gt;="&amp;DATE(2026,12,1),案件管理!$AD$5:$AD$104,"&lt;"&amp;DATE(2027,1,1),案件管理!$AE$5:$AE$104,$A28,案件管理!$F$5:$F$104,"&gt;="&amp;判定基準!$B$32,案件管理!$F$5:$F$104,"&lt;="&amp;判定基準!$B$33,案件管理!$G$5:$G$104,"&lt;="&amp;判定基準!$B$34,案件管理!$D$5:$D$104,"&lt;&gt;"&amp;判定基準!$B$35)</f>
        <v/>
      </c>
      <c r="T28" s="37">
        <f>COUNTIFS(案件管理!$AD$5:$AD$104,"&gt;="&amp;DATE(2027,1,1),案件管理!$AD$5:$AD$104,"&lt;"&amp;DATE(2027,2,1),案件管理!$AE$5:$AE$104,$A28)</f>
        <v/>
      </c>
      <c r="U28" s="37">
        <f>COUNTIFS(案件管理!$AD$5:$AD$104,"&gt;="&amp;DATE(2027,1,1),案件管理!$AD$5:$AD$104,"&lt;"&amp;DATE(2027,2,1),案件管理!$AE$5:$AE$104,$A28,案件管理!$F$5:$F$104,"&gt;="&amp;判定基準!$B$32,案件管理!$F$5:$F$104,"&lt;="&amp;判定基準!$B$33,案件管理!$G$5:$G$104,"&lt;="&amp;判定基準!$B$34,案件管理!$D$5:$D$104,"&lt;&gt;"&amp;判定基準!$B$35)</f>
        <v/>
      </c>
      <c r="V28" s="37">
        <f>COUNTIFS(案件管理!$AD$5:$AD$104,"&gt;="&amp;DATE(2027,2,1),案件管理!$AD$5:$AD$104,"&lt;"&amp;DATE(2027,3,1),案件管理!$AE$5:$AE$104,$A28)</f>
        <v/>
      </c>
      <c r="W28" s="37">
        <f>COUNTIFS(案件管理!$AD$5:$AD$104,"&gt;="&amp;DATE(2027,2,1),案件管理!$AD$5:$AD$104,"&lt;"&amp;DATE(2027,3,1),案件管理!$AE$5:$AE$104,$A28,案件管理!$F$5:$F$104,"&gt;="&amp;判定基準!$B$32,案件管理!$F$5:$F$104,"&lt;="&amp;判定基準!$B$33,案件管理!$G$5:$G$104,"&lt;="&amp;判定基準!$B$34,案件管理!$D$5:$D$104,"&lt;&gt;"&amp;判定基準!$B$35)</f>
        <v/>
      </c>
      <c r="X28" s="37">
        <f>COUNTIFS(案件管理!$AD$5:$AD$104,"&gt;="&amp;DATE(2027,3,1),案件管理!$AD$5:$AD$104,"&lt;"&amp;DATE(2027,4,1),案件管理!$AE$5:$AE$104,$A28)</f>
        <v/>
      </c>
      <c r="Y28" s="37">
        <f>COUNTIFS(案件管理!$AD$5:$AD$104,"&gt;="&amp;DATE(2027,3,1),案件管理!$AD$5:$AD$104,"&lt;"&amp;DATE(2027,4,1),案件管理!$AE$5:$AE$104,$A28,案件管理!$F$5:$F$104,"&gt;="&amp;判定基準!$B$32,案件管理!$F$5:$F$104,"&lt;="&amp;判定基準!$B$33,案件管理!$G$5:$G$104,"&lt;="&amp;判定基準!$B$34,案件管理!$D$5:$D$104,"&lt;&gt;"&amp;判定基準!$B$35)</f>
        <v/>
      </c>
      <c r="Z28" s="37">
        <f>COUNTIFS(案件管理!$AD$5:$AD$104,"&gt;="&amp;DATE(2027,4,1),案件管理!$AD$5:$AD$104,"&lt;"&amp;DATE(2027,5,1),案件管理!$AE$5:$AE$104,$A28)</f>
        <v/>
      </c>
      <c r="AA28" s="37">
        <f>COUNTIFS(案件管理!$AD$5:$AD$104,"&gt;="&amp;DATE(2027,4,1),案件管理!$AD$5:$AD$104,"&lt;"&amp;DATE(2027,5,1),案件管理!$AE$5:$AE$104,$A28,案件管理!$F$5:$F$104,"&gt;="&amp;判定基準!$B$32,案件管理!$F$5:$F$104,"&lt;="&amp;判定基準!$B$33,案件管理!$G$5:$G$104,"&lt;="&amp;判定基準!$B$34,案件管理!$D$5:$D$104,"&lt;&gt;"&amp;判定基準!$B$35)</f>
        <v/>
      </c>
      <c r="AB28" s="37">
        <f>COUNTIFS(案件管理!$AD$5:$AD$104,"&gt;="&amp;DATE(2027,5,1),案件管理!$AD$5:$AD$104,"&lt;"&amp;DATE(2027,6,1),案件管理!$AE$5:$AE$104,$A28)</f>
        <v/>
      </c>
      <c r="AC28" s="37">
        <f>COUNTIFS(案件管理!$AD$5:$AD$104,"&gt;="&amp;DATE(2027,5,1),案件管理!$AD$5:$AD$104,"&lt;"&amp;DATE(2027,6,1),案件管理!$AE$5:$AE$104,$A28,案件管理!$F$5:$F$104,"&gt;="&amp;判定基準!$B$32,案件管理!$F$5:$F$104,"&lt;="&amp;判定基準!$B$33,案件管理!$G$5:$G$104,"&lt;="&amp;判定基準!$B$34,案件管理!$D$5:$D$104,"&lt;&gt;"&amp;判定基準!$B$35)</f>
        <v/>
      </c>
      <c r="AD28" s="37">
        <f>COUNTIFS(案件管理!$AD$5:$AD$104,"&gt;="&amp;DATE(2027,6,1),案件管理!$AD$5:$AD$104,"&lt;"&amp;DATE(2027,7,1),案件管理!$AE$5:$AE$104,$A28)</f>
        <v/>
      </c>
      <c r="AE28" s="37">
        <f>COUNTIFS(案件管理!$AD$5:$AD$104,"&gt;="&amp;DATE(2027,6,1),案件管理!$AD$5:$AD$104,"&lt;"&amp;DATE(2027,7,1),案件管理!$AE$5:$AE$104,$A28,案件管理!$F$5:$F$104,"&gt;="&amp;判定基準!$B$32,案件管理!$F$5:$F$104,"&lt;="&amp;判定基準!$B$33,案件管理!$G$5:$G$104,"&lt;="&amp;判定基準!$B$34,案件管理!$D$5:$D$104,"&lt;&gt;"&amp;判定基準!$B$35)</f>
        <v/>
      </c>
      <c r="AF28" s="37">
        <f>COUNTIFS(案件管理!$AD$5:$AD$104,"&gt;="&amp;DATE(2027,7,1),案件管理!$AD$5:$AD$104,"&lt;"&amp;DATE(2027,8,1),案件管理!$AE$5:$AE$104,$A28)</f>
        <v/>
      </c>
      <c r="AG28" s="37">
        <f>COUNTIFS(案件管理!$AD$5:$AD$104,"&gt;="&amp;DATE(2027,7,1),案件管理!$AD$5:$AD$104,"&lt;"&amp;DATE(2027,8,1),案件管理!$AE$5:$AE$104,$A28,案件管理!$F$5:$F$104,"&gt;="&amp;判定基準!$B$32,案件管理!$F$5:$F$104,"&lt;="&amp;判定基準!$B$33,案件管理!$G$5:$G$104,"&lt;="&amp;判定基準!$B$34,案件管理!$D$5:$D$104,"&lt;&gt;"&amp;判定基準!$B$35)</f>
        <v/>
      </c>
      <c r="AH28" s="37">
        <f>COUNTIFS(案件管理!$AD$5:$AD$104,"&gt;="&amp;DATE(2027,8,1),案件管理!$AD$5:$AD$104,"&lt;"&amp;DATE(2027,9,1),案件管理!$AE$5:$AE$104,$A28)</f>
        <v/>
      </c>
      <c r="AI28" s="37">
        <f>COUNTIFS(案件管理!$AD$5:$AD$104,"&gt;="&amp;DATE(2027,8,1),案件管理!$AD$5:$AD$104,"&lt;"&amp;DATE(2027,9,1),案件管理!$AE$5:$AE$104,$A28,案件管理!$F$5:$F$104,"&gt;="&amp;判定基準!$B$32,案件管理!$F$5:$F$104,"&lt;="&amp;判定基準!$B$33,案件管理!$G$5:$G$104,"&lt;="&amp;判定基準!$B$34,案件管理!$D$5:$D$104,"&lt;&gt;"&amp;判定基準!$B$35)</f>
        <v/>
      </c>
      <c r="AJ28" s="37">
        <f>L28+N28+P28+R28+T28+V28+X28+Z28+AB28+AD28+AF28+AH28</f>
        <v/>
      </c>
      <c r="AK28" s="37">
        <f>M28+O28+Q28+S28+U28+W28+Y28+AA28+AC28+AE28+AG28+AI28</f>
        <v/>
      </c>
      <c r="AL28" s="38">
        <f>IF(AJ28=0,"",AK28/AJ28)</f>
        <v/>
      </c>
    </row>
    <row r="29">
      <c r="A29" s="23" t="inlineStr">
        <is>
          <t>M&amp;Aキャピタルパートナーズ株式会社</t>
        </is>
      </c>
      <c r="B29" s="17" t="n"/>
      <c r="C29" s="23" t="n"/>
      <c r="D29" s="23" t="inlineStr">
        <is>
          <t>宇田川</t>
        </is>
      </c>
      <c r="E29" s="23" t="n"/>
      <c r="F29" s="23" t="n"/>
      <c r="G29" s="20" t="n"/>
      <c r="H29" s="23" t="n"/>
      <c r="I29" s="23" t="n"/>
      <c r="J29" s="23" t="n"/>
      <c r="K29" s="23" t="n"/>
      <c r="L29" s="37">
        <f>COUNTIFS(案件管理!$AD$5:$AD$104,"&gt;="&amp;DATE(2026,9,1),案件管理!$AD$5:$AD$104,"&lt;"&amp;DATE(2026,10,1),案件管理!$AE$5:$AE$104,$A29)</f>
        <v/>
      </c>
      <c r="M29" s="37">
        <f>COUNTIFS(案件管理!$AD$5:$AD$104,"&gt;="&amp;DATE(2026,9,1),案件管理!$AD$5:$AD$104,"&lt;"&amp;DATE(2026,10,1),案件管理!$AE$5:$AE$104,$A29,案件管理!$F$5:$F$104,"&gt;="&amp;判定基準!$B$32,案件管理!$F$5:$F$104,"&lt;="&amp;判定基準!$B$33,案件管理!$G$5:$G$104,"&lt;="&amp;判定基準!$B$34,案件管理!$D$5:$D$104,"&lt;&gt;"&amp;判定基準!$B$35)</f>
        <v/>
      </c>
      <c r="N29" s="37">
        <f>COUNTIFS(案件管理!$AD$5:$AD$104,"&gt;="&amp;DATE(2026,10,1),案件管理!$AD$5:$AD$104,"&lt;"&amp;DATE(2026,11,1),案件管理!$AE$5:$AE$104,$A29)</f>
        <v/>
      </c>
      <c r="O29" s="37">
        <f>COUNTIFS(案件管理!$AD$5:$AD$104,"&gt;="&amp;DATE(2026,10,1),案件管理!$AD$5:$AD$104,"&lt;"&amp;DATE(2026,11,1),案件管理!$AE$5:$AE$104,$A29,案件管理!$F$5:$F$104,"&gt;="&amp;判定基準!$B$32,案件管理!$F$5:$F$104,"&lt;="&amp;判定基準!$B$33,案件管理!$G$5:$G$104,"&lt;="&amp;判定基準!$B$34,案件管理!$D$5:$D$104,"&lt;&gt;"&amp;判定基準!$B$35)</f>
        <v/>
      </c>
      <c r="P29" s="37">
        <f>COUNTIFS(案件管理!$AD$5:$AD$104,"&gt;="&amp;DATE(2026,11,1),案件管理!$AD$5:$AD$104,"&lt;"&amp;DATE(2026,12,1),案件管理!$AE$5:$AE$104,$A29)</f>
        <v/>
      </c>
      <c r="Q29" s="37">
        <f>COUNTIFS(案件管理!$AD$5:$AD$104,"&gt;="&amp;DATE(2026,11,1),案件管理!$AD$5:$AD$104,"&lt;"&amp;DATE(2026,12,1),案件管理!$AE$5:$AE$104,$A29,案件管理!$F$5:$F$104,"&gt;="&amp;判定基準!$B$32,案件管理!$F$5:$F$104,"&lt;="&amp;判定基準!$B$33,案件管理!$G$5:$G$104,"&lt;="&amp;判定基準!$B$34,案件管理!$D$5:$D$104,"&lt;&gt;"&amp;判定基準!$B$35)</f>
        <v/>
      </c>
      <c r="R29" s="37">
        <f>COUNTIFS(案件管理!$AD$5:$AD$104,"&gt;="&amp;DATE(2026,12,1),案件管理!$AD$5:$AD$104,"&lt;"&amp;DATE(2027,1,1),案件管理!$AE$5:$AE$104,$A29)</f>
        <v/>
      </c>
      <c r="S29" s="37">
        <f>COUNTIFS(案件管理!$AD$5:$AD$104,"&gt;="&amp;DATE(2026,12,1),案件管理!$AD$5:$AD$104,"&lt;"&amp;DATE(2027,1,1),案件管理!$AE$5:$AE$104,$A29,案件管理!$F$5:$F$104,"&gt;="&amp;判定基準!$B$32,案件管理!$F$5:$F$104,"&lt;="&amp;判定基準!$B$33,案件管理!$G$5:$G$104,"&lt;="&amp;判定基準!$B$34,案件管理!$D$5:$D$104,"&lt;&gt;"&amp;判定基準!$B$35)</f>
        <v/>
      </c>
      <c r="T29" s="37">
        <f>COUNTIFS(案件管理!$AD$5:$AD$104,"&gt;="&amp;DATE(2027,1,1),案件管理!$AD$5:$AD$104,"&lt;"&amp;DATE(2027,2,1),案件管理!$AE$5:$AE$104,$A29)</f>
        <v/>
      </c>
      <c r="U29" s="37">
        <f>COUNTIFS(案件管理!$AD$5:$AD$104,"&gt;="&amp;DATE(2027,1,1),案件管理!$AD$5:$AD$104,"&lt;"&amp;DATE(2027,2,1),案件管理!$AE$5:$AE$104,$A29,案件管理!$F$5:$F$104,"&gt;="&amp;判定基準!$B$32,案件管理!$F$5:$F$104,"&lt;="&amp;判定基準!$B$33,案件管理!$G$5:$G$104,"&lt;="&amp;判定基準!$B$34,案件管理!$D$5:$D$104,"&lt;&gt;"&amp;判定基準!$B$35)</f>
        <v/>
      </c>
      <c r="V29" s="37">
        <f>COUNTIFS(案件管理!$AD$5:$AD$104,"&gt;="&amp;DATE(2027,2,1),案件管理!$AD$5:$AD$104,"&lt;"&amp;DATE(2027,3,1),案件管理!$AE$5:$AE$104,$A29)</f>
        <v/>
      </c>
      <c r="W29" s="37">
        <f>COUNTIFS(案件管理!$AD$5:$AD$104,"&gt;="&amp;DATE(2027,2,1),案件管理!$AD$5:$AD$104,"&lt;"&amp;DATE(2027,3,1),案件管理!$AE$5:$AE$104,$A29,案件管理!$F$5:$F$104,"&gt;="&amp;判定基準!$B$32,案件管理!$F$5:$F$104,"&lt;="&amp;判定基準!$B$33,案件管理!$G$5:$G$104,"&lt;="&amp;判定基準!$B$34,案件管理!$D$5:$D$104,"&lt;&gt;"&amp;判定基準!$B$35)</f>
        <v/>
      </c>
      <c r="X29" s="37">
        <f>COUNTIFS(案件管理!$AD$5:$AD$104,"&gt;="&amp;DATE(2027,3,1),案件管理!$AD$5:$AD$104,"&lt;"&amp;DATE(2027,4,1),案件管理!$AE$5:$AE$104,$A29)</f>
        <v/>
      </c>
      <c r="Y29" s="37">
        <f>COUNTIFS(案件管理!$AD$5:$AD$104,"&gt;="&amp;DATE(2027,3,1),案件管理!$AD$5:$AD$104,"&lt;"&amp;DATE(2027,4,1),案件管理!$AE$5:$AE$104,$A29,案件管理!$F$5:$F$104,"&gt;="&amp;判定基準!$B$32,案件管理!$F$5:$F$104,"&lt;="&amp;判定基準!$B$33,案件管理!$G$5:$G$104,"&lt;="&amp;判定基準!$B$34,案件管理!$D$5:$D$104,"&lt;&gt;"&amp;判定基準!$B$35)</f>
        <v/>
      </c>
      <c r="Z29" s="37">
        <f>COUNTIFS(案件管理!$AD$5:$AD$104,"&gt;="&amp;DATE(2027,4,1),案件管理!$AD$5:$AD$104,"&lt;"&amp;DATE(2027,5,1),案件管理!$AE$5:$AE$104,$A29)</f>
        <v/>
      </c>
      <c r="AA29" s="37">
        <f>COUNTIFS(案件管理!$AD$5:$AD$104,"&gt;="&amp;DATE(2027,4,1),案件管理!$AD$5:$AD$104,"&lt;"&amp;DATE(2027,5,1),案件管理!$AE$5:$AE$104,$A29,案件管理!$F$5:$F$104,"&gt;="&amp;判定基準!$B$32,案件管理!$F$5:$F$104,"&lt;="&amp;判定基準!$B$33,案件管理!$G$5:$G$104,"&lt;="&amp;判定基準!$B$34,案件管理!$D$5:$D$104,"&lt;&gt;"&amp;判定基準!$B$35)</f>
        <v/>
      </c>
      <c r="AB29" s="37">
        <f>COUNTIFS(案件管理!$AD$5:$AD$104,"&gt;="&amp;DATE(2027,5,1),案件管理!$AD$5:$AD$104,"&lt;"&amp;DATE(2027,6,1),案件管理!$AE$5:$AE$104,$A29)</f>
        <v/>
      </c>
      <c r="AC29" s="37">
        <f>COUNTIFS(案件管理!$AD$5:$AD$104,"&gt;="&amp;DATE(2027,5,1),案件管理!$AD$5:$AD$104,"&lt;"&amp;DATE(2027,6,1),案件管理!$AE$5:$AE$104,$A29,案件管理!$F$5:$F$104,"&gt;="&amp;判定基準!$B$32,案件管理!$F$5:$F$104,"&lt;="&amp;判定基準!$B$33,案件管理!$G$5:$G$104,"&lt;="&amp;判定基準!$B$34,案件管理!$D$5:$D$104,"&lt;&gt;"&amp;判定基準!$B$35)</f>
        <v/>
      </c>
      <c r="AD29" s="37">
        <f>COUNTIFS(案件管理!$AD$5:$AD$104,"&gt;="&amp;DATE(2027,6,1),案件管理!$AD$5:$AD$104,"&lt;"&amp;DATE(2027,7,1),案件管理!$AE$5:$AE$104,$A29)</f>
        <v/>
      </c>
      <c r="AE29" s="37">
        <f>COUNTIFS(案件管理!$AD$5:$AD$104,"&gt;="&amp;DATE(2027,6,1),案件管理!$AD$5:$AD$104,"&lt;"&amp;DATE(2027,7,1),案件管理!$AE$5:$AE$104,$A29,案件管理!$F$5:$F$104,"&gt;="&amp;判定基準!$B$32,案件管理!$F$5:$F$104,"&lt;="&amp;判定基準!$B$33,案件管理!$G$5:$G$104,"&lt;="&amp;判定基準!$B$34,案件管理!$D$5:$D$104,"&lt;&gt;"&amp;判定基準!$B$35)</f>
        <v/>
      </c>
      <c r="AF29" s="37">
        <f>COUNTIFS(案件管理!$AD$5:$AD$104,"&gt;="&amp;DATE(2027,7,1),案件管理!$AD$5:$AD$104,"&lt;"&amp;DATE(2027,8,1),案件管理!$AE$5:$AE$104,$A29)</f>
        <v/>
      </c>
      <c r="AG29" s="37">
        <f>COUNTIFS(案件管理!$AD$5:$AD$104,"&gt;="&amp;DATE(2027,7,1),案件管理!$AD$5:$AD$104,"&lt;"&amp;DATE(2027,8,1),案件管理!$AE$5:$AE$104,$A29,案件管理!$F$5:$F$104,"&gt;="&amp;判定基準!$B$32,案件管理!$F$5:$F$104,"&lt;="&amp;判定基準!$B$33,案件管理!$G$5:$G$104,"&lt;="&amp;判定基準!$B$34,案件管理!$D$5:$D$104,"&lt;&gt;"&amp;判定基準!$B$35)</f>
        <v/>
      </c>
      <c r="AH29" s="37">
        <f>COUNTIFS(案件管理!$AD$5:$AD$104,"&gt;="&amp;DATE(2027,8,1),案件管理!$AD$5:$AD$104,"&lt;"&amp;DATE(2027,9,1),案件管理!$AE$5:$AE$104,$A29)</f>
        <v/>
      </c>
      <c r="AI29" s="37">
        <f>COUNTIFS(案件管理!$AD$5:$AD$104,"&gt;="&amp;DATE(2027,8,1),案件管理!$AD$5:$AD$104,"&lt;"&amp;DATE(2027,9,1),案件管理!$AE$5:$AE$104,$A29,案件管理!$F$5:$F$104,"&gt;="&amp;判定基準!$B$32,案件管理!$F$5:$F$104,"&lt;="&amp;判定基準!$B$33,案件管理!$G$5:$G$104,"&lt;="&amp;判定基準!$B$34,案件管理!$D$5:$D$104,"&lt;&gt;"&amp;判定基準!$B$35)</f>
        <v/>
      </c>
      <c r="AJ29" s="37">
        <f>L29+N29+P29+R29+T29+V29+X29+Z29+AB29+AD29+AF29+AH29</f>
        <v/>
      </c>
      <c r="AK29" s="37">
        <f>M29+O29+Q29+S29+U29+W29+Y29+AA29+AC29+AE29+AG29+AI29</f>
        <v/>
      </c>
      <c r="AL29" s="38">
        <f>IF(AJ29=0,"",AK29/AJ29)</f>
        <v/>
      </c>
    </row>
    <row r="30">
      <c r="A30" s="23" t="inlineStr">
        <is>
          <t>株式会社Anyglo</t>
        </is>
      </c>
      <c r="B30" s="17" t="n"/>
      <c r="C30" s="23" t="inlineStr">
        <is>
          <t>B</t>
        </is>
      </c>
      <c r="D30" s="23" t="inlineStr">
        <is>
          <t>春日</t>
        </is>
      </c>
      <c r="E30" s="22" t="n">
        <v>46280</v>
      </c>
      <c r="F30" s="22" t="n">
        <v>46293</v>
      </c>
      <c r="G30" s="20" t="n"/>
      <c r="H30" s="23" t="n"/>
      <c r="I30" s="23" t="n"/>
      <c r="J30" s="23" t="n"/>
      <c r="K30" s="23" t="n"/>
      <c r="L30" s="37">
        <f>COUNTIFS(案件管理!$AD$5:$AD$104,"&gt;="&amp;DATE(2026,9,1),案件管理!$AD$5:$AD$104,"&lt;"&amp;DATE(2026,10,1),案件管理!$AE$5:$AE$104,$A30)</f>
        <v/>
      </c>
      <c r="M30" s="37">
        <f>COUNTIFS(案件管理!$AD$5:$AD$104,"&gt;="&amp;DATE(2026,9,1),案件管理!$AD$5:$AD$104,"&lt;"&amp;DATE(2026,10,1),案件管理!$AE$5:$AE$104,$A30,案件管理!$F$5:$F$104,"&gt;="&amp;判定基準!$B$32,案件管理!$F$5:$F$104,"&lt;="&amp;判定基準!$B$33,案件管理!$G$5:$G$104,"&lt;="&amp;判定基準!$B$34,案件管理!$D$5:$D$104,"&lt;&gt;"&amp;判定基準!$B$35)</f>
        <v/>
      </c>
      <c r="N30" s="37">
        <f>COUNTIFS(案件管理!$AD$5:$AD$104,"&gt;="&amp;DATE(2026,10,1),案件管理!$AD$5:$AD$104,"&lt;"&amp;DATE(2026,11,1),案件管理!$AE$5:$AE$104,$A30)</f>
        <v/>
      </c>
      <c r="O30" s="37">
        <f>COUNTIFS(案件管理!$AD$5:$AD$104,"&gt;="&amp;DATE(2026,10,1),案件管理!$AD$5:$AD$104,"&lt;"&amp;DATE(2026,11,1),案件管理!$AE$5:$AE$104,$A30,案件管理!$F$5:$F$104,"&gt;="&amp;判定基準!$B$32,案件管理!$F$5:$F$104,"&lt;="&amp;判定基準!$B$33,案件管理!$G$5:$G$104,"&lt;="&amp;判定基準!$B$34,案件管理!$D$5:$D$104,"&lt;&gt;"&amp;判定基準!$B$35)</f>
        <v/>
      </c>
      <c r="P30" s="37">
        <f>COUNTIFS(案件管理!$AD$5:$AD$104,"&gt;="&amp;DATE(2026,11,1),案件管理!$AD$5:$AD$104,"&lt;"&amp;DATE(2026,12,1),案件管理!$AE$5:$AE$104,$A30)</f>
        <v/>
      </c>
      <c r="Q30" s="37">
        <f>COUNTIFS(案件管理!$AD$5:$AD$104,"&gt;="&amp;DATE(2026,11,1),案件管理!$AD$5:$AD$104,"&lt;"&amp;DATE(2026,12,1),案件管理!$AE$5:$AE$104,$A30,案件管理!$F$5:$F$104,"&gt;="&amp;判定基準!$B$32,案件管理!$F$5:$F$104,"&lt;="&amp;判定基準!$B$33,案件管理!$G$5:$G$104,"&lt;="&amp;判定基準!$B$34,案件管理!$D$5:$D$104,"&lt;&gt;"&amp;判定基準!$B$35)</f>
        <v/>
      </c>
      <c r="R30" s="37">
        <f>COUNTIFS(案件管理!$AD$5:$AD$104,"&gt;="&amp;DATE(2026,12,1),案件管理!$AD$5:$AD$104,"&lt;"&amp;DATE(2027,1,1),案件管理!$AE$5:$AE$104,$A30)</f>
        <v/>
      </c>
      <c r="S30" s="37">
        <f>COUNTIFS(案件管理!$AD$5:$AD$104,"&gt;="&amp;DATE(2026,12,1),案件管理!$AD$5:$AD$104,"&lt;"&amp;DATE(2027,1,1),案件管理!$AE$5:$AE$104,$A30,案件管理!$F$5:$F$104,"&gt;="&amp;判定基準!$B$32,案件管理!$F$5:$F$104,"&lt;="&amp;判定基準!$B$33,案件管理!$G$5:$G$104,"&lt;="&amp;判定基準!$B$34,案件管理!$D$5:$D$104,"&lt;&gt;"&amp;判定基準!$B$35)</f>
        <v/>
      </c>
      <c r="T30" s="37">
        <f>COUNTIFS(案件管理!$AD$5:$AD$104,"&gt;="&amp;DATE(2027,1,1),案件管理!$AD$5:$AD$104,"&lt;"&amp;DATE(2027,2,1),案件管理!$AE$5:$AE$104,$A30)</f>
        <v/>
      </c>
      <c r="U30" s="37">
        <f>COUNTIFS(案件管理!$AD$5:$AD$104,"&gt;="&amp;DATE(2027,1,1),案件管理!$AD$5:$AD$104,"&lt;"&amp;DATE(2027,2,1),案件管理!$AE$5:$AE$104,$A30,案件管理!$F$5:$F$104,"&gt;="&amp;判定基準!$B$32,案件管理!$F$5:$F$104,"&lt;="&amp;判定基準!$B$33,案件管理!$G$5:$G$104,"&lt;="&amp;判定基準!$B$34,案件管理!$D$5:$D$104,"&lt;&gt;"&amp;判定基準!$B$35)</f>
        <v/>
      </c>
      <c r="V30" s="37">
        <f>COUNTIFS(案件管理!$AD$5:$AD$104,"&gt;="&amp;DATE(2027,2,1),案件管理!$AD$5:$AD$104,"&lt;"&amp;DATE(2027,3,1),案件管理!$AE$5:$AE$104,$A30)</f>
        <v/>
      </c>
      <c r="W30" s="37">
        <f>COUNTIFS(案件管理!$AD$5:$AD$104,"&gt;="&amp;DATE(2027,2,1),案件管理!$AD$5:$AD$104,"&lt;"&amp;DATE(2027,3,1),案件管理!$AE$5:$AE$104,$A30,案件管理!$F$5:$F$104,"&gt;="&amp;判定基準!$B$32,案件管理!$F$5:$F$104,"&lt;="&amp;判定基準!$B$33,案件管理!$G$5:$G$104,"&lt;="&amp;判定基準!$B$34,案件管理!$D$5:$D$104,"&lt;&gt;"&amp;判定基準!$B$35)</f>
        <v/>
      </c>
      <c r="X30" s="37">
        <f>COUNTIFS(案件管理!$AD$5:$AD$104,"&gt;="&amp;DATE(2027,3,1),案件管理!$AD$5:$AD$104,"&lt;"&amp;DATE(2027,4,1),案件管理!$AE$5:$AE$104,$A30)</f>
        <v/>
      </c>
      <c r="Y30" s="37">
        <f>COUNTIFS(案件管理!$AD$5:$AD$104,"&gt;="&amp;DATE(2027,3,1),案件管理!$AD$5:$AD$104,"&lt;"&amp;DATE(2027,4,1),案件管理!$AE$5:$AE$104,$A30,案件管理!$F$5:$F$104,"&gt;="&amp;判定基準!$B$32,案件管理!$F$5:$F$104,"&lt;="&amp;判定基準!$B$33,案件管理!$G$5:$G$104,"&lt;="&amp;判定基準!$B$34,案件管理!$D$5:$D$104,"&lt;&gt;"&amp;判定基準!$B$35)</f>
        <v/>
      </c>
      <c r="Z30" s="37">
        <f>COUNTIFS(案件管理!$AD$5:$AD$104,"&gt;="&amp;DATE(2027,4,1),案件管理!$AD$5:$AD$104,"&lt;"&amp;DATE(2027,5,1),案件管理!$AE$5:$AE$104,$A30)</f>
        <v/>
      </c>
      <c r="AA30" s="37">
        <f>COUNTIFS(案件管理!$AD$5:$AD$104,"&gt;="&amp;DATE(2027,4,1),案件管理!$AD$5:$AD$104,"&lt;"&amp;DATE(2027,5,1),案件管理!$AE$5:$AE$104,$A30,案件管理!$F$5:$F$104,"&gt;="&amp;判定基準!$B$32,案件管理!$F$5:$F$104,"&lt;="&amp;判定基準!$B$33,案件管理!$G$5:$G$104,"&lt;="&amp;判定基準!$B$34,案件管理!$D$5:$D$104,"&lt;&gt;"&amp;判定基準!$B$35)</f>
        <v/>
      </c>
      <c r="AB30" s="37">
        <f>COUNTIFS(案件管理!$AD$5:$AD$104,"&gt;="&amp;DATE(2027,5,1),案件管理!$AD$5:$AD$104,"&lt;"&amp;DATE(2027,6,1),案件管理!$AE$5:$AE$104,$A30)</f>
        <v/>
      </c>
      <c r="AC30" s="37">
        <f>COUNTIFS(案件管理!$AD$5:$AD$104,"&gt;="&amp;DATE(2027,5,1),案件管理!$AD$5:$AD$104,"&lt;"&amp;DATE(2027,6,1),案件管理!$AE$5:$AE$104,$A30,案件管理!$F$5:$F$104,"&gt;="&amp;判定基準!$B$32,案件管理!$F$5:$F$104,"&lt;="&amp;判定基準!$B$33,案件管理!$G$5:$G$104,"&lt;="&amp;判定基準!$B$34,案件管理!$D$5:$D$104,"&lt;&gt;"&amp;判定基準!$B$35)</f>
        <v/>
      </c>
      <c r="AD30" s="37">
        <f>COUNTIFS(案件管理!$AD$5:$AD$104,"&gt;="&amp;DATE(2027,6,1),案件管理!$AD$5:$AD$104,"&lt;"&amp;DATE(2027,7,1),案件管理!$AE$5:$AE$104,$A30)</f>
        <v/>
      </c>
      <c r="AE30" s="37">
        <f>COUNTIFS(案件管理!$AD$5:$AD$104,"&gt;="&amp;DATE(2027,6,1),案件管理!$AD$5:$AD$104,"&lt;"&amp;DATE(2027,7,1),案件管理!$AE$5:$AE$104,$A30,案件管理!$F$5:$F$104,"&gt;="&amp;判定基準!$B$32,案件管理!$F$5:$F$104,"&lt;="&amp;判定基準!$B$33,案件管理!$G$5:$G$104,"&lt;="&amp;判定基準!$B$34,案件管理!$D$5:$D$104,"&lt;&gt;"&amp;判定基準!$B$35)</f>
        <v/>
      </c>
      <c r="AF30" s="37">
        <f>COUNTIFS(案件管理!$AD$5:$AD$104,"&gt;="&amp;DATE(2027,7,1),案件管理!$AD$5:$AD$104,"&lt;"&amp;DATE(2027,8,1),案件管理!$AE$5:$AE$104,$A30)</f>
        <v/>
      </c>
      <c r="AG30" s="37">
        <f>COUNTIFS(案件管理!$AD$5:$AD$104,"&gt;="&amp;DATE(2027,7,1),案件管理!$AD$5:$AD$104,"&lt;"&amp;DATE(2027,8,1),案件管理!$AE$5:$AE$104,$A30,案件管理!$F$5:$F$104,"&gt;="&amp;判定基準!$B$32,案件管理!$F$5:$F$104,"&lt;="&amp;判定基準!$B$33,案件管理!$G$5:$G$104,"&lt;="&amp;判定基準!$B$34,案件管理!$D$5:$D$104,"&lt;&gt;"&amp;判定基準!$B$35)</f>
        <v/>
      </c>
      <c r="AH30" s="37">
        <f>COUNTIFS(案件管理!$AD$5:$AD$104,"&gt;="&amp;DATE(2027,8,1),案件管理!$AD$5:$AD$104,"&lt;"&amp;DATE(2027,9,1),案件管理!$AE$5:$AE$104,$A30)</f>
        <v/>
      </c>
      <c r="AI30" s="37">
        <f>COUNTIFS(案件管理!$AD$5:$AD$104,"&gt;="&amp;DATE(2027,8,1),案件管理!$AD$5:$AD$104,"&lt;"&amp;DATE(2027,9,1),案件管理!$AE$5:$AE$104,$A30,案件管理!$F$5:$F$104,"&gt;="&amp;判定基準!$B$32,案件管理!$F$5:$F$104,"&lt;="&amp;判定基準!$B$33,案件管理!$G$5:$G$104,"&lt;="&amp;判定基準!$B$34,案件管理!$D$5:$D$104,"&lt;&gt;"&amp;判定基準!$B$35)</f>
        <v/>
      </c>
      <c r="AJ30" s="37">
        <f>L30+N30+P30+R30+T30+V30+X30+Z30+AB30+AD30+AF30+AH30</f>
        <v/>
      </c>
      <c r="AK30" s="37">
        <f>M30+O30+Q30+S30+U30+W30+Y30+AA30+AC30+AE30+AG30+AI30</f>
        <v/>
      </c>
      <c r="AL30" s="38">
        <f>IF(AJ30=0,"",AK30/AJ30)</f>
        <v/>
      </c>
    </row>
    <row r="31">
      <c r="A31" s="23" t="inlineStr">
        <is>
          <t>M&amp;A Lead株式会社</t>
        </is>
      </c>
      <c r="B31" s="17" t="n"/>
      <c r="C31" s="23" t="inlineStr">
        <is>
          <t>B</t>
        </is>
      </c>
      <c r="D31" s="23" t="inlineStr">
        <is>
          <t>菅</t>
        </is>
      </c>
      <c r="E31" s="22" t="n">
        <v>46266</v>
      </c>
      <c r="F31" s="23" t="n"/>
      <c r="G31" s="20" t="n"/>
      <c r="H31" s="23" t="n"/>
      <c r="I31" s="23" t="n"/>
      <c r="J31" s="23" t="n"/>
      <c r="K31" s="23" t="n"/>
      <c r="L31" s="37">
        <f>COUNTIFS(案件管理!$AD$5:$AD$104,"&gt;="&amp;DATE(2026,9,1),案件管理!$AD$5:$AD$104,"&lt;"&amp;DATE(2026,10,1),案件管理!$AE$5:$AE$104,$A31)</f>
        <v/>
      </c>
      <c r="M31" s="37">
        <f>COUNTIFS(案件管理!$AD$5:$AD$104,"&gt;="&amp;DATE(2026,9,1),案件管理!$AD$5:$AD$104,"&lt;"&amp;DATE(2026,10,1),案件管理!$AE$5:$AE$104,$A31,案件管理!$F$5:$F$104,"&gt;="&amp;判定基準!$B$32,案件管理!$F$5:$F$104,"&lt;="&amp;判定基準!$B$33,案件管理!$G$5:$G$104,"&lt;="&amp;判定基準!$B$34,案件管理!$D$5:$D$104,"&lt;&gt;"&amp;判定基準!$B$35)</f>
        <v/>
      </c>
      <c r="N31" s="37">
        <f>COUNTIFS(案件管理!$AD$5:$AD$104,"&gt;="&amp;DATE(2026,10,1),案件管理!$AD$5:$AD$104,"&lt;"&amp;DATE(2026,11,1),案件管理!$AE$5:$AE$104,$A31)</f>
        <v/>
      </c>
      <c r="O31" s="37">
        <f>COUNTIFS(案件管理!$AD$5:$AD$104,"&gt;="&amp;DATE(2026,10,1),案件管理!$AD$5:$AD$104,"&lt;"&amp;DATE(2026,11,1),案件管理!$AE$5:$AE$104,$A31,案件管理!$F$5:$F$104,"&gt;="&amp;判定基準!$B$32,案件管理!$F$5:$F$104,"&lt;="&amp;判定基準!$B$33,案件管理!$G$5:$G$104,"&lt;="&amp;判定基準!$B$34,案件管理!$D$5:$D$104,"&lt;&gt;"&amp;判定基準!$B$35)</f>
        <v/>
      </c>
      <c r="P31" s="37">
        <f>COUNTIFS(案件管理!$AD$5:$AD$104,"&gt;="&amp;DATE(2026,11,1),案件管理!$AD$5:$AD$104,"&lt;"&amp;DATE(2026,12,1),案件管理!$AE$5:$AE$104,$A31)</f>
        <v/>
      </c>
      <c r="Q31" s="37">
        <f>COUNTIFS(案件管理!$AD$5:$AD$104,"&gt;="&amp;DATE(2026,11,1),案件管理!$AD$5:$AD$104,"&lt;"&amp;DATE(2026,12,1),案件管理!$AE$5:$AE$104,$A31,案件管理!$F$5:$F$104,"&gt;="&amp;判定基準!$B$32,案件管理!$F$5:$F$104,"&lt;="&amp;判定基準!$B$33,案件管理!$G$5:$G$104,"&lt;="&amp;判定基準!$B$34,案件管理!$D$5:$D$104,"&lt;&gt;"&amp;判定基準!$B$35)</f>
        <v/>
      </c>
      <c r="R31" s="37">
        <f>COUNTIFS(案件管理!$AD$5:$AD$104,"&gt;="&amp;DATE(2026,12,1),案件管理!$AD$5:$AD$104,"&lt;"&amp;DATE(2027,1,1),案件管理!$AE$5:$AE$104,$A31)</f>
        <v/>
      </c>
      <c r="S31" s="37">
        <f>COUNTIFS(案件管理!$AD$5:$AD$104,"&gt;="&amp;DATE(2026,12,1),案件管理!$AD$5:$AD$104,"&lt;"&amp;DATE(2027,1,1),案件管理!$AE$5:$AE$104,$A31,案件管理!$F$5:$F$104,"&gt;="&amp;判定基準!$B$32,案件管理!$F$5:$F$104,"&lt;="&amp;判定基準!$B$33,案件管理!$G$5:$G$104,"&lt;="&amp;判定基準!$B$34,案件管理!$D$5:$D$104,"&lt;&gt;"&amp;判定基準!$B$35)</f>
        <v/>
      </c>
      <c r="T31" s="37">
        <f>COUNTIFS(案件管理!$AD$5:$AD$104,"&gt;="&amp;DATE(2027,1,1),案件管理!$AD$5:$AD$104,"&lt;"&amp;DATE(2027,2,1),案件管理!$AE$5:$AE$104,$A31)</f>
        <v/>
      </c>
      <c r="U31" s="37">
        <f>COUNTIFS(案件管理!$AD$5:$AD$104,"&gt;="&amp;DATE(2027,1,1),案件管理!$AD$5:$AD$104,"&lt;"&amp;DATE(2027,2,1),案件管理!$AE$5:$AE$104,$A31,案件管理!$F$5:$F$104,"&gt;="&amp;判定基準!$B$32,案件管理!$F$5:$F$104,"&lt;="&amp;判定基準!$B$33,案件管理!$G$5:$G$104,"&lt;="&amp;判定基準!$B$34,案件管理!$D$5:$D$104,"&lt;&gt;"&amp;判定基準!$B$35)</f>
        <v/>
      </c>
      <c r="V31" s="37">
        <f>COUNTIFS(案件管理!$AD$5:$AD$104,"&gt;="&amp;DATE(2027,2,1),案件管理!$AD$5:$AD$104,"&lt;"&amp;DATE(2027,3,1),案件管理!$AE$5:$AE$104,$A31)</f>
        <v/>
      </c>
      <c r="W31" s="37">
        <f>COUNTIFS(案件管理!$AD$5:$AD$104,"&gt;="&amp;DATE(2027,2,1),案件管理!$AD$5:$AD$104,"&lt;"&amp;DATE(2027,3,1),案件管理!$AE$5:$AE$104,$A31,案件管理!$F$5:$F$104,"&gt;="&amp;判定基準!$B$32,案件管理!$F$5:$F$104,"&lt;="&amp;判定基準!$B$33,案件管理!$G$5:$G$104,"&lt;="&amp;判定基準!$B$34,案件管理!$D$5:$D$104,"&lt;&gt;"&amp;判定基準!$B$35)</f>
        <v/>
      </c>
      <c r="X31" s="37">
        <f>COUNTIFS(案件管理!$AD$5:$AD$104,"&gt;="&amp;DATE(2027,3,1),案件管理!$AD$5:$AD$104,"&lt;"&amp;DATE(2027,4,1),案件管理!$AE$5:$AE$104,$A31)</f>
        <v/>
      </c>
      <c r="Y31" s="37">
        <f>COUNTIFS(案件管理!$AD$5:$AD$104,"&gt;="&amp;DATE(2027,3,1),案件管理!$AD$5:$AD$104,"&lt;"&amp;DATE(2027,4,1),案件管理!$AE$5:$AE$104,$A31,案件管理!$F$5:$F$104,"&gt;="&amp;判定基準!$B$32,案件管理!$F$5:$F$104,"&lt;="&amp;判定基準!$B$33,案件管理!$G$5:$G$104,"&lt;="&amp;判定基準!$B$34,案件管理!$D$5:$D$104,"&lt;&gt;"&amp;判定基準!$B$35)</f>
        <v/>
      </c>
      <c r="Z31" s="37">
        <f>COUNTIFS(案件管理!$AD$5:$AD$104,"&gt;="&amp;DATE(2027,4,1),案件管理!$AD$5:$AD$104,"&lt;"&amp;DATE(2027,5,1),案件管理!$AE$5:$AE$104,$A31)</f>
        <v/>
      </c>
      <c r="AA31" s="37">
        <f>COUNTIFS(案件管理!$AD$5:$AD$104,"&gt;="&amp;DATE(2027,4,1),案件管理!$AD$5:$AD$104,"&lt;"&amp;DATE(2027,5,1),案件管理!$AE$5:$AE$104,$A31,案件管理!$F$5:$F$104,"&gt;="&amp;判定基準!$B$32,案件管理!$F$5:$F$104,"&lt;="&amp;判定基準!$B$33,案件管理!$G$5:$G$104,"&lt;="&amp;判定基準!$B$34,案件管理!$D$5:$D$104,"&lt;&gt;"&amp;判定基準!$B$35)</f>
        <v/>
      </c>
      <c r="AB31" s="37">
        <f>COUNTIFS(案件管理!$AD$5:$AD$104,"&gt;="&amp;DATE(2027,5,1),案件管理!$AD$5:$AD$104,"&lt;"&amp;DATE(2027,6,1),案件管理!$AE$5:$AE$104,$A31)</f>
        <v/>
      </c>
      <c r="AC31" s="37">
        <f>COUNTIFS(案件管理!$AD$5:$AD$104,"&gt;="&amp;DATE(2027,5,1),案件管理!$AD$5:$AD$104,"&lt;"&amp;DATE(2027,6,1),案件管理!$AE$5:$AE$104,$A31,案件管理!$F$5:$F$104,"&gt;="&amp;判定基準!$B$32,案件管理!$F$5:$F$104,"&lt;="&amp;判定基準!$B$33,案件管理!$G$5:$G$104,"&lt;="&amp;判定基準!$B$34,案件管理!$D$5:$D$104,"&lt;&gt;"&amp;判定基準!$B$35)</f>
        <v/>
      </c>
      <c r="AD31" s="37">
        <f>COUNTIFS(案件管理!$AD$5:$AD$104,"&gt;="&amp;DATE(2027,6,1),案件管理!$AD$5:$AD$104,"&lt;"&amp;DATE(2027,7,1),案件管理!$AE$5:$AE$104,$A31)</f>
        <v/>
      </c>
      <c r="AE31" s="37">
        <f>COUNTIFS(案件管理!$AD$5:$AD$104,"&gt;="&amp;DATE(2027,6,1),案件管理!$AD$5:$AD$104,"&lt;"&amp;DATE(2027,7,1),案件管理!$AE$5:$AE$104,$A31,案件管理!$F$5:$F$104,"&gt;="&amp;判定基準!$B$32,案件管理!$F$5:$F$104,"&lt;="&amp;判定基準!$B$33,案件管理!$G$5:$G$104,"&lt;="&amp;判定基準!$B$34,案件管理!$D$5:$D$104,"&lt;&gt;"&amp;判定基準!$B$35)</f>
        <v/>
      </c>
      <c r="AF31" s="37">
        <f>COUNTIFS(案件管理!$AD$5:$AD$104,"&gt;="&amp;DATE(2027,7,1),案件管理!$AD$5:$AD$104,"&lt;"&amp;DATE(2027,8,1),案件管理!$AE$5:$AE$104,$A31)</f>
        <v/>
      </c>
      <c r="AG31" s="37">
        <f>COUNTIFS(案件管理!$AD$5:$AD$104,"&gt;="&amp;DATE(2027,7,1),案件管理!$AD$5:$AD$104,"&lt;"&amp;DATE(2027,8,1),案件管理!$AE$5:$AE$104,$A31,案件管理!$F$5:$F$104,"&gt;="&amp;判定基準!$B$32,案件管理!$F$5:$F$104,"&lt;="&amp;判定基準!$B$33,案件管理!$G$5:$G$104,"&lt;="&amp;判定基準!$B$34,案件管理!$D$5:$D$104,"&lt;&gt;"&amp;判定基準!$B$35)</f>
        <v/>
      </c>
      <c r="AH31" s="37">
        <f>COUNTIFS(案件管理!$AD$5:$AD$104,"&gt;="&amp;DATE(2027,8,1),案件管理!$AD$5:$AD$104,"&lt;"&amp;DATE(2027,9,1),案件管理!$AE$5:$AE$104,$A31)</f>
        <v/>
      </c>
      <c r="AI31" s="37">
        <f>COUNTIFS(案件管理!$AD$5:$AD$104,"&gt;="&amp;DATE(2027,8,1),案件管理!$AD$5:$AD$104,"&lt;"&amp;DATE(2027,9,1),案件管理!$AE$5:$AE$104,$A31,案件管理!$F$5:$F$104,"&gt;="&amp;判定基準!$B$32,案件管理!$F$5:$F$104,"&lt;="&amp;判定基準!$B$33,案件管理!$G$5:$G$104,"&lt;="&amp;判定基準!$B$34,案件管理!$D$5:$D$104,"&lt;&gt;"&amp;判定基準!$B$35)</f>
        <v/>
      </c>
      <c r="AJ31" s="37">
        <f>L31+N31+P31+R31+T31+V31+X31+Z31+AB31+AD31+AF31+AH31</f>
        <v/>
      </c>
      <c r="AK31" s="37">
        <f>M31+O31+Q31+S31+U31+W31+Y31+AA31+AC31+AE31+AG31+AI31</f>
        <v/>
      </c>
      <c r="AL31" s="38">
        <f>IF(AJ31=0,"",AK31/AJ31)</f>
        <v/>
      </c>
    </row>
    <row r="32">
      <c r="A32" s="23" t="inlineStr">
        <is>
          <t>株式会社プレックス</t>
        </is>
      </c>
      <c r="B32" s="17" t="n"/>
      <c r="C32" s="23" t="inlineStr">
        <is>
          <t>C</t>
        </is>
      </c>
      <c r="D32" s="23" t="inlineStr">
        <is>
          <t>上原</t>
        </is>
      </c>
      <c r="E32" s="22" t="n">
        <v>46267</v>
      </c>
      <c r="F32" s="23" t="n"/>
      <c r="G32" s="20" t="n"/>
      <c r="H32" s="23" t="n"/>
      <c r="I32" s="23" t="n"/>
      <c r="J32" s="23" t="n"/>
      <c r="K32" s="23" t="n"/>
      <c r="L32" s="37">
        <f>COUNTIFS(案件管理!$AD$5:$AD$104,"&gt;="&amp;DATE(2026,9,1),案件管理!$AD$5:$AD$104,"&lt;"&amp;DATE(2026,10,1),案件管理!$AE$5:$AE$104,$A32)</f>
        <v/>
      </c>
      <c r="M32" s="37">
        <f>COUNTIFS(案件管理!$AD$5:$AD$104,"&gt;="&amp;DATE(2026,9,1),案件管理!$AD$5:$AD$104,"&lt;"&amp;DATE(2026,10,1),案件管理!$AE$5:$AE$104,$A32,案件管理!$F$5:$F$104,"&gt;="&amp;判定基準!$B$32,案件管理!$F$5:$F$104,"&lt;="&amp;判定基準!$B$33,案件管理!$G$5:$G$104,"&lt;="&amp;判定基準!$B$34,案件管理!$D$5:$D$104,"&lt;&gt;"&amp;判定基準!$B$35)</f>
        <v/>
      </c>
      <c r="N32" s="37">
        <f>COUNTIFS(案件管理!$AD$5:$AD$104,"&gt;="&amp;DATE(2026,10,1),案件管理!$AD$5:$AD$104,"&lt;"&amp;DATE(2026,11,1),案件管理!$AE$5:$AE$104,$A32)</f>
        <v/>
      </c>
      <c r="O32" s="37">
        <f>COUNTIFS(案件管理!$AD$5:$AD$104,"&gt;="&amp;DATE(2026,10,1),案件管理!$AD$5:$AD$104,"&lt;"&amp;DATE(2026,11,1),案件管理!$AE$5:$AE$104,$A32,案件管理!$F$5:$F$104,"&gt;="&amp;判定基準!$B$32,案件管理!$F$5:$F$104,"&lt;="&amp;判定基準!$B$33,案件管理!$G$5:$G$104,"&lt;="&amp;判定基準!$B$34,案件管理!$D$5:$D$104,"&lt;&gt;"&amp;判定基準!$B$35)</f>
        <v/>
      </c>
      <c r="P32" s="37">
        <f>COUNTIFS(案件管理!$AD$5:$AD$104,"&gt;="&amp;DATE(2026,11,1),案件管理!$AD$5:$AD$104,"&lt;"&amp;DATE(2026,12,1),案件管理!$AE$5:$AE$104,$A32)</f>
        <v/>
      </c>
      <c r="Q32" s="37">
        <f>COUNTIFS(案件管理!$AD$5:$AD$104,"&gt;="&amp;DATE(2026,11,1),案件管理!$AD$5:$AD$104,"&lt;"&amp;DATE(2026,12,1),案件管理!$AE$5:$AE$104,$A32,案件管理!$F$5:$F$104,"&gt;="&amp;判定基準!$B$32,案件管理!$F$5:$F$104,"&lt;="&amp;判定基準!$B$33,案件管理!$G$5:$G$104,"&lt;="&amp;判定基準!$B$34,案件管理!$D$5:$D$104,"&lt;&gt;"&amp;判定基準!$B$35)</f>
        <v/>
      </c>
      <c r="R32" s="37">
        <f>COUNTIFS(案件管理!$AD$5:$AD$104,"&gt;="&amp;DATE(2026,12,1),案件管理!$AD$5:$AD$104,"&lt;"&amp;DATE(2027,1,1),案件管理!$AE$5:$AE$104,$A32)</f>
        <v/>
      </c>
      <c r="S32" s="37">
        <f>COUNTIFS(案件管理!$AD$5:$AD$104,"&gt;="&amp;DATE(2026,12,1),案件管理!$AD$5:$AD$104,"&lt;"&amp;DATE(2027,1,1),案件管理!$AE$5:$AE$104,$A32,案件管理!$F$5:$F$104,"&gt;="&amp;判定基準!$B$32,案件管理!$F$5:$F$104,"&lt;="&amp;判定基準!$B$33,案件管理!$G$5:$G$104,"&lt;="&amp;判定基準!$B$34,案件管理!$D$5:$D$104,"&lt;&gt;"&amp;判定基準!$B$35)</f>
        <v/>
      </c>
      <c r="T32" s="37">
        <f>COUNTIFS(案件管理!$AD$5:$AD$104,"&gt;="&amp;DATE(2027,1,1),案件管理!$AD$5:$AD$104,"&lt;"&amp;DATE(2027,2,1),案件管理!$AE$5:$AE$104,$A32)</f>
        <v/>
      </c>
      <c r="U32" s="37">
        <f>COUNTIFS(案件管理!$AD$5:$AD$104,"&gt;="&amp;DATE(2027,1,1),案件管理!$AD$5:$AD$104,"&lt;"&amp;DATE(2027,2,1),案件管理!$AE$5:$AE$104,$A32,案件管理!$F$5:$F$104,"&gt;="&amp;判定基準!$B$32,案件管理!$F$5:$F$104,"&lt;="&amp;判定基準!$B$33,案件管理!$G$5:$G$104,"&lt;="&amp;判定基準!$B$34,案件管理!$D$5:$D$104,"&lt;&gt;"&amp;判定基準!$B$35)</f>
        <v/>
      </c>
      <c r="V32" s="37">
        <f>COUNTIFS(案件管理!$AD$5:$AD$104,"&gt;="&amp;DATE(2027,2,1),案件管理!$AD$5:$AD$104,"&lt;"&amp;DATE(2027,3,1),案件管理!$AE$5:$AE$104,$A32)</f>
        <v/>
      </c>
      <c r="W32" s="37">
        <f>COUNTIFS(案件管理!$AD$5:$AD$104,"&gt;="&amp;DATE(2027,2,1),案件管理!$AD$5:$AD$104,"&lt;"&amp;DATE(2027,3,1),案件管理!$AE$5:$AE$104,$A32,案件管理!$F$5:$F$104,"&gt;="&amp;判定基準!$B$32,案件管理!$F$5:$F$104,"&lt;="&amp;判定基準!$B$33,案件管理!$G$5:$G$104,"&lt;="&amp;判定基準!$B$34,案件管理!$D$5:$D$104,"&lt;&gt;"&amp;判定基準!$B$35)</f>
        <v/>
      </c>
      <c r="X32" s="37">
        <f>COUNTIFS(案件管理!$AD$5:$AD$104,"&gt;="&amp;DATE(2027,3,1),案件管理!$AD$5:$AD$104,"&lt;"&amp;DATE(2027,4,1),案件管理!$AE$5:$AE$104,$A32)</f>
        <v/>
      </c>
      <c r="Y32" s="37">
        <f>COUNTIFS(案件管理!$AD$5:$AD$104,"&gt;="&amp;DATE(2027,3,1),案件管理!$AD$5:$AD$104,"&lt;"&amp;DATE(2027,4,1),案件管理!$AE$5:$AE$104,$A32,案件管理!$F$5:$F$104,"&gt;="&amp;判定基準!$B$32,案件管理!$F$5:$F$104,"&lt;="&amp;判定基準!$B$33,案件管理!$G$5:$G$104,"&lt;="&amp;判定基準!$B$34,案件管理!$D$5:$D$104,"&lt;&gt;"&amp;判定基準!$B$35)</f>
        <v/>
      </c>
      <c r="Z32" s="37">
        <f>COUNTIFS(案件管理!$AD$5:$AD$104,"&gt;="&amp;DATE(2027,4,1),案件管理!$AD$5:$AD$104,"&lt;"&amp;DATE(2027,5,1),案件管理!$AE$5:$AE$104,$A32)</f>
        <v/>
      </c>
      <c r="AA32" s="37">
        <f>COUNTIFS(案件管理!$AD$5:$AD$104,"&gt;="&amp;DATE(2027,4,1),案件管理!$AD$5:$AD$104,"&lt;"&amp;DATE(2027,5,1),案件管理!$AE$5:$AE$104,$A32,案件管理!$F$5:$F$104,"&gt;="&amp;判定基準!$B$32,案件管理!$F$5:$F$104,"&lt;="&amp;判定基準!$B$33,案件管理!$G$5:$G$104,"&lt;="&amp;判定基準!$B$34,案件管理!$D$5:$D$104,"&lt;&gt;"&amp;判定基準!$B$35)</f>
        <v/>
      </c>
      <c r="AB32" s="37">
        <f>COUNTIFS(案件管理!$AD$5:$AD$104,"&gt;="&amp;DATE(2027,5,1),案件管理!$AD$5:$AD$104,"&lt;"&amp;DATE(2027,6,1),案件管理!$AE$5:$AE$104,$A32)</f>
        <v/>
      </c>
      <c r="AC32" s="37">
        <f>COUNTIFS(案件管理!$AD$5:$AD$104,"&gt;="&amp;DATE(2027,5,1),案件管理!$AD$5:$AD$104,"&lt;"&amp;DATE(2027,6,1),案件管理!$AE$5:$AE$104,$A32,案件管理!$F$5:$F$104,"&gt;="&amp;判定基準!$B$32,案件管理!$F$5:$F$104,"&lt;="&amp;判定基準!$B$33,案件管理!$G$5:$G$104,"&lt;="&amp;判定基準!$B$34,案件管理!$D$5:$D$104,"&lt;&gt;"&amp;判定基準!$B$35)</f>
        <v/>
      </c>
      <c r="AD32" s="37">
        <f>COUNTIFS(案件管理!$AD$5:$AD$104,"&gt;="&amp;DATE(2027,6,1),案件管理!$AD$5:$AD$104,"&lt;"&amp;DATE(2027,7,1),案件管理!$AE$5:$AE$104,$A32)</f>
        <v/>
      </c>
      <c r="AE32" s="37">
        <f>COUNTIFS(案件管理!$AD$5:$AD$104,"&gt;="&amp;DATE(2027,6,1),案件管理!$AD$5:$AD$104,"&lt;"&amp;DATE(2027,7,1),案件管理!$AE$5:$AE$104,$A32,案件管理!$F$5:$F$104,"&gt;="&amp;判定基準!$B$32,案件管理!$F$5:$F$104,"&lt;="&amp;判定基準!$B$33,案件管理!$G$5:$G$104,"&lt;="&amp;判定基準!$B$34,案件管理!$D$5:$D$104,"&lt;&gt;"&amp;判定基準!$B$35)</f>
        <v/>
      </c>
      <c r="AF32" s="37">
        <f>COUNTIFS(案件管理!$AD$5:$AD$104,"&gt;="&amp;DATE(2027,7,1),案件管理!$AD$5:$AD$104,"&lt;"&amp;DATE(2027,8,1),案件管理!$AE$5:$AE$104,$A32)</f>
        <v/>
      </c>
      <c r="AG32" s="37">
        <f>COUNTIFS(案件管理!$AD$5:$AD$104,"&gt;="&amp;DATE(2027,7,1),案件管理!$AD$5:$AD$104,"&lt;"&amp;DATE(2027,8,1),案件管理!$AE$5:$AE$104,$A32,案件管理!$F$5:$F$104,"&gt;="&amp;判定基準!$B$32,案件管理!$F$5:$F$104,"&lt;="&amp;判定基準!$B$33,案件管理!$G$5:$G$104,"&lt;="&amp;判定基準!$B$34,案件管理!$D$5:$D$104,"&lt;&gt;"&amp;判定基準!$B$35)</f>
        <v/>
      </c>
      <c r="AH32" s="37">
        <f>COUNTIFS(案件管理!$AD$5:$AD$104,"&gt;="&amp;DATE(2027,8,1),案件管理!$AD$5:$AD$104,"&lt;"&amp;DATE(2027,9,1),案件管理!$AE$5:$AE$104,$A32)</f>
        <v/>
      </c>
      <c r="AI32" s="37">
        <f>COUNTIFS(案件管理!$AD$5:$AD$104,"&gt;="&amp;DATE(2027,8,1),案件管理!$AD$5:$AD$104,"&lt;"&amp;DATE(2027,9,1),案件管理!$AE$5:$AE$104,$A32,案件管理!$F$5:$F$104,"&gt;="&amp;判定基準!$B$32,案件管理!$F$5:$F$104,"&lt;="&amp;判定基準!$B$33,案件管理!$G$5:$G$104,"&lt;="&amp;判定基準!$B$34,案件管理!$D$5:$D$104,"&lt;&gt;"&amp;判定基準!$B$35)</f>
        <v/>
      </c>
      <c r="AJ32" s="37">
        <f>L32+N32+P32+R32+T32+V32+X32+Z32+AB32+AD32+AF32+AH32</f>
        <v/>
      </c>
      <c r="AK32" s="37">
        <f>M32+O32+Q32+S32+U32+W32+Y32+AA32+AC32+AE32+AG32+AI32</f>
        <v/>
      </c>
      <c r="AL32" s="38">
        <f>IF(AJ32=0,"",AK32/AJ32)</f>
        <v/>
      </c>
    </row>
    <row r="33">
      <c r="A33" s="23" t="inlineStr">
        <is>
          <t>株式会社ストライク</t>
        </is>
      </c>
      <c r="B33" s="17" t="n"/>
      <c r="C33" s="23" t="inlineStr">
        <is>
          <t>A</t>
        </is>
      </c>
      <c r="D33" s="23" t="inlineStr">
        <is>
          <t>三浦</t>
        </is>
      </c>
      <c r="E33" s="23" t="n"/>
      <c r="F33" s="23" t="n"/>
      <c r="G33" s="20" t="n"/>
      <c r="H33" s="23" t="n"/>
      <c r="I33" s="23" t="n"/>
      <c r="J33" s="23" t="n"/>
      <c r="K33" s="23" t="n"/>
      <c r="L33" s="37">
        <f>COUNTIFS(案件管理!$AD$5:$AD$104,"&gt;="&amp;DATE(2026,9,1),案件管理!$AD$5:$AD$104,"&lt;"&amp;DATE(2026,10,1),案件管理!$AE$5:$AE$104,$A33)</f>
        <v/>
      </c>
      <c r="M33" s="37">
        <f>COUNTIFS(案件管理!$AD$5:$AD$104,"&gt;="&amp;DATE(2026,9,1),案件管理!$AD$5:$AD$104,"&lt;"&amp;DATE(2026,10,1),案件管理!$AE$5:$AE$104,$A33,案件管理!$F$5:$F$104,"&gt;="&amp;判定基準!$B$32,案件管理!$F$5:$F$104,"&lt;="&amp;判定基準!$B$33,案件管理!$G$5:$G$104,"&lt;="&amp;判定基準!$B$34,案件管理!$D$5:$D$104,"&lt;&gt;"&amp;判定基準!$B$35)</f>
        <v/>
      </c>
      <c r="N33" s="37">
        <f>COUNTIFS(案件管理!$AD$5:$AD$104,"&gt;="&amp;DATE(2026,10,1),案件管理!$AD$5:$AD$104,"&lt;"&amp;DATE(2026,11,1),案件管理!$AE$5:$AE$104,$A33)</f>
        <v/>
      </c>
      <c r="O33" s="37">
        <f>COUNTIFS(案件管理!$AD$5:$AD$104,"&gt;="&amp;DATE(2026,10,1),案件管理!$AD$5:$AD$104,"&lt;"&amp;DATE(2026,11,1),案件管理!$AE$5:$AE$104,$A33,案件管理!$F$5:$F$104,"&gt;="&amp;判定基準!$B$32,案件管理!$F$5:$F$104,"&lt;="&amp;判定基準!$B$33,案件管理!$G$5:$G$104,"&lt;="&amp;判定基準!$B$34,案件管理!$D$5:$D$104,"&lt;&gt;"&amp;判定基準!$B$35)</f>
        <v/>
      </c>
      <c r="P33" s="37">
        <f>COUNTIFS(案件管理!$AD$5:$AD$104,"&gt;="&amp;DATE(2026,11,1),案件管理!$AD$5:$AD$104,"&lt;"&amp;DATE(2026,12,1),案件管理!$AE$5:$AE$104,$A33)</f>
        <v/>
      </c>
      <c r="Q33" s="37">
        <f>COUNTIFS(案件管理!$AD$5:$AD$104,"&gt;="&amp;DATE(2026,11,1),案件管理!$AD$5:$AD$104,"&lt;"&amp;DATE(2026,12,1),案件管理!$AE$5:$AE$104,$A33,案件管理!$F$5:$F$104,"&gt;="&amp;判定基準!$B$32,案件管理!$F$5:$F$104,"&lt;="&amp;判定基準!$B$33,案件管理!$G$5:$G$104,"&lt;="&amp;判定基準!$B$34,案件管理!$D$5:$D$104,"&lt;&gt;"&amp;判定基準!$B$35)</f>
        <v/>
      </c>
      <c r="R33" s="37">
        <f>COUNTIFS(案件管理!$AD$5:$AD$104,"&gt;="&amp;DATE(2026,12,1),案件管理!$AD$5:$AD$104,"&lt;"&amp;DATE(2027,1,1),案件管理!$AE$5:$AE$104,$A33)</f>
        <v/>
      </c>
      <c r="S33" s="37">
        <f>COUNTIFS(案件管理!$AD$5:$AD$104,"&gt;="&amp;DATE(2026,12,1),案件管理!$AD$5:$AD$104,"&lt;"&amp;DATE(2027,1,1),案件管理!$AE$5:$AE$104,$A33,案件管理!$F$5:$F$104,"&gt;="&amp;判定基準!$B$32,案件管理!$F$5:$F$104,"&lt;="&amp;判定基準!$B$33,案件管理!$G$5:$G$104,"&lt;="&amp;判定基準!$B$34,案件管理!$D$5:$D$104,"&lt;&gt;"&amp;判定基準!$B$35)</f>
        <v/>
      </c>
      <c r="T33" s="37">
        <f>COUNTIFS(案件管理!$AD$5:$AD$104,"&gt;="&amp;DATE(2027,1,1),案件管理!$AD$5:$AD$104,"&lt;"&amp;DATE(2027,2,1),案件管理!$AE$5:$AE$104,$A33)</f>
        <v/>
      </c>
      <c r="U33" s="37">
        <f>COUNTIFS(案件管理!$AD$5:$AD$104,"&gt;="&amp;DATE(2027,1,1),案件管理!$AD$5:$AD$104,"&lt;"&amp;DATE(2027,2,1),案件管理!$AE$5:$AE$104,$A33,案件管理!$F$5:$F$104,"&gt;="&amp;判定基準!$B$32,案件管理!$F$5:$F$104,"&lt;="&amp;判定基準!$B$33,案件管理!$G$5:$G$104,"&lt;="&amp;判定基準!$B$34,案件管理!$D$5:$D$104,"&lt;&gt;"&amp;判定基準!$B$35)</f>
        <v/>
      </c>
      <c r="V33" s="37">
        <f>COUNTIFS(案件管理!$AD$5:$AD$104,"&gt;="&amp;DATE(2027,2,1),案件管理!$AD$5:$AD$104,"&lt;"&amp;DATE(2027,3,1),案件管理!$AE$5:$AE$104,$A33)</f>
        <v/>
      </c>
      <c r="W33" s="37">
        <f>COUNTIFS(案件管理!$AD$5:$AD$104,"&gt;="&amp;DATE(2027,2,1),案件管理!$AD$5:$AD$104,"&lt;"&amp;DATE(2027,3,1),案件管理!$AE$5:$AE$104,$A33,案件管理!$F$5:$F$104,"&gt;="&amp;判定基準!$B$32,案件管理!$F$5:$F$104,"&lt;="&amp;判定基準!$B$33,案件管理!$G$5:$G$104,"&lt;="&amp;判定基準!$B$34,案件管理!$D$5:$D$104,"&lt;&gt;"&amp;判定基準!$B$35)</f>
        <v/>
      </c>
      <c r="X33" s="37">
        <f>COUNTIFS(案件管理!$AD$5:$AD$104,"&gt;="&amp;DATE(2027,3,1),案件管理!$AD$5:$AD$104,"&lt;"&amp;DATE(2027,4,1),案件管理!$AE$5:$AE$104,$A33)</f>
        <v/>
      </c>
      <c r="Y33" s="37">
        <f>COUNTIFS(案件管理!$AD$5:$AD$104,"&gt;="&amp;DATE(2027,3,1),案件管理!$AD$5:$AD$104,"&lt;"&amp;DATE(2027,4,1),案件管理!$AE$5:$AE$104,$A33,案件管理!$F$5:$F$104,"&gt;="&amp;判定基準!$B$32,案件管理!$F$5:$F$104,"&lt;="&amp;判定基準!$B$33,案件管理!$G$5:$G$104,"&lt;="&amp;判定基準!$B$34,案件管理!$D$5:$D$104,"&lt;&gt;"&amp;判定基準!$B$35)</f>
        <v/>
      </c>
      <c r="Z33" s="37">
        <f>COUNTIFS(案件管理!$AD$5:$AD$104,"&gt;="&amp;DATE(2027,4,1),案件管理!$AD$5:$AD$104,"&lt;"&amp;DATE(2027,5,1),案件管理!$AE$5:$AE$104,$A33)</f>
        <v/>
      </c>
      <c r="AA33" s="37">
        <f>COUNTIFS(案件管理!$AD$5:$AD$104,"&gt;="&amp;DATE(2027,4,1),案件管理!$AD$5:$AD$104,"&lt;"&amp;DATE(2027,5,1),案件管理!$AE$5:$AE$104,$A33,案件管理!$F$5:$F$104,"&gt;="&amp;判定基準!$B$32,案件管理!$F$5:$F$104,"&lt;="&amp;判定基準!$B$33,案件管理!$G$5:$G$104,"&lt;="&amp;判定基準!$B$34,案件管理!$D$5:$D$104,"&lt;&gt;"&amp;判定基準!$B$35)</f>
        <v/>
      </c>
      <c r="AB33" s="37">
        <f>COUNTIFS(案件管理!$AD$5:$AD$104,"&gt;="&amp;DATE(2027,5,1),案件管理!$AD$5:$AD$104,"&lt;"&amp;DATE(2027,6,1),案件管理!$AE$5:$AE$104,$A33)</f>
        <v/>
      </c>
      <c r="AC33" s="37">
        <f>COUNTIFS(案件管理!$AD$5:$AD$104,"&gt;="&amp;DATE(2027,5,1),案件管理!$AD$5:$AD$104,"&lt;"&amp;DATE(2027,6,1),案件管理!$AE$5:$AE$104,$A33,案件管理!$F$5:$F$104,"&gt;="&amp;判定基準!$B$32,案件管理!$F$5:$F$104,"&lt;="&amp;判定基準!$B$33,案件管理!$G$5:$G$104,"&lt;="&amp;判定基準!$B$34,案件管理!$D$5:$D$104,"&lt;&gt;"&amp;判定基準!$B$35)</f>
        <v/>
      </c>
      <c r="AD33" s="37">
        <f>COUNTIFS(案件管理!$AD$5:$AD$104,"&gt;="&amp;DATE(2027,6,1),案件管理!$AD$5:$AD$104,"&lt;"&amp;DATE(2027,7,1),案件管理!$AE$5:$AE$104,$A33)</f>
        <v/>
      </c>
      <c r="AE33" s="37">
        <f>COUNTIFS(案件管理!$AD$5:$AD$104,"&gt;="&amp;DATE(2027,6,1),案件管理!$AD$5:$AD$104,"&lt;"&amp;DATE(2027,7,1),案件管理!$AE$5:$AE$104,$A33,案件管理!$F$5:$F$104,"&gt;="&amp;判定基準!$B$32,案件管理!$F$5:$F$104,"&lt;="&amp;判定基準!$B$33,案件管理!$G$5:$G$104,"&lt;="&amp;判定基準!$B$34,案件管理!$D$5:$D$104,"&lt;&gt;"&amp;判定基準!$B$35)</f>
        <v/>
      </c>
      <c r="AF33" s="37">
        <f>COUNTIFS(案件管理!$AD$5:$AD$104,"&gt;="&amp;DATE(2027,7,1),案件管理!$AD$5:$AD$104,"&lt;"&amp;DATE(2027,8,1),案件管理!$AE$5:$AE$104,$A33)</f>
        <v/>
      </c>
      <c r="AG33" s="37">
        <f>COUNTIFS(案件管理!$AD$5:$AD$104,"&gt;="&amp;DATE(2027,7,1),案件管理!$AD$5:$AD$104,"&lt;"&amp;DATE(2027,8,1),案件管理!$AE$5:$AE$104,$A33,案件管理!$F$5:$F$104,"&gt;="&amp;判定基準!$B$32,案件管理!$F$5:$F$104,"&lt;="&amp;判定基準!$B$33,案件管理!$G$5:$G$104,"&lt;="&amp;判定基準!$B$34,案件管理!$D$5:$D$104,"&lt;&gt;"&amp;判定基準!$B$35)</f>
        <v/>
      </c>
      <c r="AH33" s="37">
        <f>COUNTIFS(案件管理!$AD$5:$AD$104,"&gt;="&amp;DATE(2027,8,1),案件管理!$AD$5:$AD$104,"&lt;"&amp;DATE(2027,9,1),案件管理!$AE$5:$AE$104,$A33)</f>
        <v/>
      </c>
      <c r="AI33" s="37">
        <f>COUNTIFS(案件管理!$AD$5:$AD$104,"&gt;="&amp;DATE(2027,8,1),案件管理!$AD$5:$AD$104,"&lt;"&amp;DATE(2027,9,1),案件管理!$AE$5:$AE$104,$A33,案件管理!$F$5:$F$104,"&gt;="&amp;判定基準!$B$32,案件管理!$F$5:$F$104,"&lt;="&amp;判定基準!$B$33,案件管理!$G$5:$G$104,"&lt;="&amp;判定基準!$B$34,案件管理!$D$5:$D$104,"&lt;&gt;"&amp;判定基準!$B$35)</f>
        <v/>
      </c>
      <c r="AJ33" s="37">
        <f>L33+N33+P33+R33+T33+V33+X33+Z33+AB33+AD33+AF33+AH33</f>
        <v/>
      </c>
      <c r="AK33" s="37">
        <f>M33+O33+Q33+S33+U33+W33+Y33+AA33+AC33+AE33+AG33+AI33</f>
        <v/>
      </c>
      <c r="AL33" s="38">
        <f>IF(AJ33=0,"",AK33/AJ33)</f>
        <v/>
      </c>
    </row>
    <row r="34">
      <c r="A34" s="23" t="inlineStr">
        <is>
          <t>インテグループ株式会社</t>
        </is>
      </c>
      <c r="B34" s="17" t="n"/>
      <c r="C34" s="23" t="inlineStr">
        <is>
          <t>B</t>
        </is>
      </c>
      <c r="D34" s="23" t="inlineStr">
        <is>
          <t>竹原</t>
        </is>
      </c>
      <c r="E34" s="23" t="n"/>
      <c r="F34" s="22" t="n">
        <v>46293</v>
      </c>
      <c r="G34" s="20" t="n"/>
      <c r="H34" s="23" t="n"/>
      <c r="I34" s="23" t="n"/>
      <c r="J34" s="23" t="n"/>
      <c r="K34" s="23" t="n"/>
      <c r="L34" s="37">
        <f>COUNTIFS(案件管理!$AD$5:$AD$104,"&gt;="&amp;DATE(2026,9,1),案件管理!$AD$5:$AD$104,"&lt;"&amp;DATE(2026,10,1),案件管理!$AE$5:$AE$104,$A34)</f>
        <v/>
      </c>
      <c r="M34" s="37">
        <f>COUNTIFS(案件管理!$AD$5:$AD$104,"&gt;="&amp;DATE(2026,9,1),案件管理!$AD$5:$AD$104,"&lt;"&amp;DATE(2026,10,1),案件管理!$AE$5:$AE$104,$A34,案件管理!$F$5:$F$104,"&gt;="&amp;判定基準!$B$32,案件管理!$F$5:$F$104,"&lt;="&amp;判定基準!$B$33,案件管理!$G$5:$G$104,"&lt;="&amp;判定基準!$B$34,案件管理!$D$5:$D$104,"&lt;&gt;"&amp;判定基準!$B$35)</f>
        <v/>
      </c>
      <c r="N34" s="37">
        <f>COUNTIFS(案件管理!$AD$5:$AD$104,"&gt;="&amp;DATE(2026,10,1),案件管理!$AD$5:$AD$104,"&lt;"&amp;DATE(2026,11,1),案件管理!$AE$5:$AE$104,$A34)</f>
        <v/>
      </c>
      <c r="O34" s="37">
        <f>COUNTIFS(案件管理!$AD$5:$AD$104,"&gt;="&amp;DATE(2026,10,1),案件管理!$AD$5:$AD$104,"&lt;"&amp;DATE(2026,11,1),案件管理!$AE$5:$AE$104,$A34,案件管理!$F$5:$F$104,"&gt;="&amp;判定基準!$B$32,案件管理!$F$5:$F$104,"&lt;="&amp;判定基準!$B$33,案件管理!$G$5:$G$104,"&lt;="&amp;判定基準!$B$34,案件管理!$D$5:$D$104,"&lt;&gt;"&amp;判定基準!$B$35)</f>
        <v/>
      </c>
      <c r="P34" s="37">
        <f>COUNTIFS(案件管理!$AD$5:$AD$104,"&gt;="&amp;DATE(2026,11,1),案件管理!$AD$5:$AD$104,"&lt;"&amp;DATE(2026,12,1),案件管理!$AE$5:$AE$104,$A34)</f>
        <v/>
      </c>
      <c r="Q34" s="37">
        <f>COUNTIFS(案件管理!$AD$5:$AD$104,"&gt;="&amp;DATE(2026,11,1),案件管理!$AD$5:$AD$104,"&lt;"&amp;DATE(2026,12,1),案件管理!$AE$5:$AE$104,$A34,案件管理!$F$5:$F$104,"&gt;="&amp;判定基準!$B$32,案件管理!$F$5:$F$104,"&lt;="&amp;判定基準!$B$33,案件管理!$G$5:$G$104,"&lt;="&amp;判定基準!$B$34,案件管理!$D$5:$D$104,"&lt;&gt;"&amp;判定基準!$B$35)</f>
        <v/>
      </c>
      <c r="R34" s="37">
        <f>COUNTIFS(案件管理!$AD$5:$AD$104,"&gt;="&amp;DATE(2026,12,1),案件管理!$AD$5:$AD$104,"&lt;"&amp;DATE(2027,1,1),案件管理!$AE$5:$AE$104,$A34)</f>
        <v/>
      </c>
      <c r="S34" s="37">
        <f>COUNTIFS(案件管理!$AD$5:$AD$104,"&gt;="&amp;DATE(2026,12,1),案件管理!$AD$5:$AD$104,"&lt;"&amp;DATE(2027,1,1),案件管理!$AE$5:$AE$104,$A34,案件管理!$F$5:$F$104,"&gt;="&amp;判定基準!$B$32,案件管理!$F$5:$F$104,"&lt;="&amp;判定基準!$B$33,案件管理!$G$5:$G$104,"&lt;="&amp;判定基準!$B$34,案件管理!$D$5:$D$104,"&lt;&gt;"&amp;判定基準!$B$35)</f>
        <v/>
      </c>
      <c r="T34" s="37">
        <f>COUNTIFS(案件管理!$AD$5:$AD$104,"&gt;="&amp;DATE(2027,1,1),案件管理!$AD$5:$AD$104,"&lt;"&amp;DATE(2027,2,1),案件管理!$AE$5:$AE$104,$A34)</f>
        <v/>
      </c>
      <c r="U34" s="37">
        <f>COUNTIFS(案件管理!$AD$5:$AD$104,"&gt;="&amp;DATE(2027,1,1),案件管理!$AD$5:$AD$104,"&lt;"&amp;DATE(2027,2,1),案件管理!$AE$5:$AE$104,$A34,案件管理!$F$5:$F$104,"&gt;="&amp;判定基準!$B$32,案件管理!$F$5:$F$104,"&lt;="&amp;判定基準!$B$33,案件管理!$G$5:$G$104,"&lt;="&amp;判定基準!$B$34,案件管理!$D$5:$D$104,"&lt;&gt;"&amp;判定基準!$B$35)</f>
        <v/>
      </c>
      <c r="V34" s="37">
        <f>COUNTIFS(案件管理!$AD$5:$AD$104,"&gt;="&amp;DATE(2027,2,1),案件管理!$AD$5:$AD$104,"&lt;"&amp;DATE(2027,3,1),案件管理!$AE$5:$AE$104,$A34)</f>
        <v/>
      </c>
      <c r="W34" s="37">
        <f>COUNTIFS(案件管理!$AD$5:$AD$104,"&gt;="&amp;DATE(2027,2,1),案件管理!$AD$5:$AD$104,"&lt;"&amp;DATE(2027,3,1),案件管理!$AE$5:$AE$104,$A34,案件管理!$F$5:$F$104,"&gt;="&amp;判定基準!$B$32,案件管理!$F$5:$F$104,"&lt;="&amp;判定基準!$B$33,案件管理!$G$5:$G$104,"&lt;="&amp;判定基準!$B$34,案件管理!$D$5:$D$104,"&lt;&gt;"&amp;判定基準!$B$35)</f>
        <v/>
      </c>
      <c r="X34" s="37">
        <f>COUNTIFS(案件管理!$AD$5:$AD$104,"&gt;="&amp;DATE(2027,3,1),案件管理!$AD$5:$AD$104,"&lt;"&amp;DATE(2027,4,1),案件管理!$AE$5:$AE$104,$A34)</f>
        <v/>
      </c>
      <c r="Y34" s="37">
        <f>COUNTIFS(案件管理!$AD$5:$AD$104,"&gt;="&amp;DATE(2027,3,1),案件管理!$AD$5:$AD$104,"&lt;"&amp;DATE(2027,4,1),案件管理!$AE$5:$AE$104,$A34,案件管理!$F$5:$F$104,"&gt;="&amp;判定基準!$B$32,案件管理!$F$5:$F$104,"&lt;="&amp;判定基準!$B$33,案件管理!$G$5:$G$104,"&lt;="&amp;判定基準!$B$34,案件管理!$D$5:$D$104,"&lt;&gt;"&amp;判定基準!$B$35)</f>
        <v/>
      </c>
      <c r="Z34" s="37">
        <f>COUNTIFS(案件管理!$AD$5:$AD$104,"&gt;="&amp;DATE(2027,4,1),案件管理!$AD$5:$AD$104,"&lt;"&amp;DATE(2027,5,1),案件管理!$AE$5:$AE$104,$A34)</f>
        <v/>
      </c>
      <c r="AA34" s="37">
        <f>COUNTIFS(案件管理!$AD$5:$AD$104,"&gt;="&amp;DATE(2027,4,1),案件管理!$AD$5:$AD$104,"&lt;"&amp;DATE(2027,5,1),案件管理!$AE$5:$AE$104,$A34,案件管理!$F$5:$F$104,"&gt;="&amp;判定基準!$B$32,案件管理!$F$5:$F$104,"&lt;="&amp;判定基準!$B$33,案件管理!$G$5:$G$104,"&lt;="&amp;判定基準!$B$34,案件管理!$D$5:$D$104,"&lt;&gt;"&amp;判定基準!$B$35)</f>
        <v/>
      </c>
      <c r="AB34" s="37">
        <f>COUNTIFS(案件管理!$AD$5:$AD$104,"&gt;="&amp;DATE(2027,5,1),案件管理!$AD$5:$AD$104,"&lt;"&amp;DATE(2027,6,1),案件管理!$AE$5:$AE$104,$A34)</f>
        <v/>
      </c>
      <c r="AC34" s="37">
        <f>COUNTIFS(案件管理!$AD$5:$AD$104,"&gt;="&amp;DATE(2027,5,1),案件管理!$AD$5:$AD$104,"&lt;"&amp;DATE(2027,6,1),案件管理!$AE$5:$AE$104,$A34,案件管理!$F$5:$F$104,"&gt;="&amp;判定基準!$B$32,案件管理!$F$5:$F$104,"&lt;="&amp;判定基準!$B$33,案件管理!$G$5:$G$104,"&lt;="&amp;判定基準!$B$34,案件管理!$D$5:$D$104,"&lt;&gt;"&amp;判定基準!$B$35)</f>
        <v/>
      </c>
      <c r="AD34" s="37">
        <f>COUNTIFS(案件管理!$AD$5:$AD$104,"&gt;="&amp;DATE(2027,6,1),案件管理!$AD$5:$AD$104,"&lt;"&amp;DATE(2027,7,1),案件管理!$AE$5:$AE$104,$A34)</f>
        <v/>
      </c>
      <c r="AE34" s="37">
        <f>COUNTIFS(案件管理!$AD$5:$AD$104,"&gt;="&amp;DATE(2027,6,1),案件管理!$AD$5:$AD$104,"&lt;"&amp;DATE(2027,7,1),案件管理!$AE$5:$AE$104,$A34,案件管理!$F$5:$F$104,"&gt;="&amp;判定基準!$B$32,案件管理!$F$5:$F$104,"&lt;="&amp;判定基準!$B$33,案件管理!$G$5:$G$104,"&lt;="&amp;判定基準!$B$34,案件管理!$D$5:$D$104,"&lt;&gt;"&amp;判定基準!$B$35)</f>
        <v/>
      </c>
      <c r="AF34" s="37">
        <f>COUNTIFS(案件管理!$AD$5:$AD$104,"&gt;="&amp;DATE(2027,7,1),案件管理!$AD$5:$AD$104,"&lt;"&amp;DATE(2027,8,1),案件管理!$AE$5:$AE$104,$A34)</f>
        <v/>
      </c>
      <c r="AG34" s="37">
        <f>COUNTIFS(案件管理!$AD$5:$AD$104,"&gt;="&amp;DATE(2027,7,1),案件管理!$AD$5:$AD$104,"&lt;"&amp;DATE(2027,8,1),案件管理!$AE$5:$AE$104,$A34,案件管理!$F$5:$F$104,"&gt;="&amp;判定基準!$B$32,案件管理!$F$5:$F$104,"&lt;="&amp;判定基準!$B$33,案件管理!$G$5:$G$104,"&lt;="&amp;判定基準!$B$34,案件管理!$D$5:$D$104,"&lt;&gt;"&amp;判定基準!$B$35)</f>
        <v/>
      </c>
      <c r="AH34" s="37">
        <f>COUNTIFS(案件管理!$AD$5:$AD$104,"&gt;="&amp;DATE(2027,8,1),案件管理!$AD$5:$AD$104,"&lt;"&amp;DATE(2027,9,1),案件管理!$AE$5:$AE$104,$A34)</f>
        <v/>
      </c>
      <c r="AI34" s="37">
        <f>COUNTIFS(案件管理!$AD$5:$AD$104,"&gt;="&amp;DATE(2027,8,1),案件管理!$AD$5:$AD$104,"&lt;"&amp;DATE(2027,9,1),案件管理!$AE$5:$AE$104,$A34,案件管理!$F$5:$F$104,"&gt;="&amp;判定基準!$B$32,案件管理!$F$5:$F$104,"&lt;="&amp;判定基準!$B$33,案件管理!$G$5:$G$104,"&lt;="&amp;判定基準!$B$34,案件管理!$D$5:$D$104,"&lt;&gt;"&amp;判定基準!$B$35)</f>
        <v/>
      </c>
      <c r="AJ34" s="37">
        <f>L34+N34+P34+R34+T34+V34+X34+Z34+AB34+AD34+AF34+AH34</f>
        <v/>
      </c>
      <c r="AK34" s="37">
        <f>M34+O34+Q34+S34+U34+W34+Y34+AA34+AC34+AE34+AG34+AI34</f>
        <v/>
      </c>
      <c r="AL34" s="38">
        <f>IF(AJ34=0,"",AK34/AJ34)</f>
        <v/>
      </c>
    </row>
    <row r="35">
      <c r="A35" s="23" t="inlineStr">
        <is>
          <t>株式会社オンデック</t>
        </is>
      </c>
      <c r="B35" s="17" t="n"/>
      <c r="C35" s="23" t="inlineStr">
        <is>
          <t>B</t>
        </is>
      </c>
      <c r="D35" s="23" t="inlineStr">
        <is>
          <t>櫻井</t>
        </is>
      </c>
      <c r="E35" s="22" t="n">
        <v>46283</v>
      </c>
      <c r="F35" s="23" t="n"/>
      <c r="G35" s="20" t="n"/>
      <c r="H35" s="23" t="n"/>
      <c r="I35" s="23" t="n"/>
      <c r="J35" s="23" t="n"/>
      <c r="K35" s="23" t="n"/>
      <c r="L35" s="37">
        <f>COUNTIFS(案件管理!$AD$5:$AD$104,"&gt;="&amp;DATE(2026,9,1),案件管理!$AD$5:$AD$104,"&lt;"&amp;DATE(2026,10,1),案件管理!$AE$5:$AE$104,$A35)</f>
        <v/>
      </c>
      <c r="M35" s="37">
        <f>COUNTIFS(案件管理!$AD$5:$AD$104,"&gt;="&amp;DATE(2026,9,1),案件管理!$AD$5:$AD$104,"&lt;"&amp;DATE(2026,10,1),案件管理!$AE$5:$AE$104,$A35,案件管理!$F$5:$F$104,"&gt;="&amp;判定基準!$B$32,案件管理!$F$5:$F$104,"&lt;="&amp;判定基準!$B$33,案件管理!$G$5:$G$104,"&lt;="&amp;判定基準!$B$34,案件管理!$D$5:$D$104,"&lt;&gt;"&amp;判定基準!$B$35)</f>
        <v/>
      </c>
      <c r="N35" s="37">
        <f>COUNTIFS(案件管理!$AD$5:$AD$104,"&gt;="&amp;DATE(2026,10,1),案件管理!$AD$5:$AD$104,"&lt;"&amp;DATE(2026,11,1),案件管理!$AE$5:$AE$104,$A35)</f>
        <v/>
      </c>
      <c r="O35" s="37">
        <f>COUNTIFS(案件管理!$AD$5:$AD$104,"&gt;="&amp;DATE(2026,10,1),案件管理!$AD$5:$AD$104,"&lt;"&amp;DATE(2026,11,1),案件管理!$AE$5:$AE$104,$A35,案件管理!$F$5:$F$104,"&gt;="&amp;判定基準!$B$32,案件管理!$F$5:$F$104,"&lt;="&amp;判定基準!$B$33,案件管理!$G$5:$G$104,"&lt;="&amp;判定基準!$B$34,案件管理!$D$5:$D$104,"&lt;&gt;"&amp;判定基準!$B$35)</f>
        <v/>
      </c>
      <c r="P35" s="37">
        <f>COUNTIFS(案件管理!$AD$5:$AD$104,"&gt;="&amp;DATE(2026,11,1),案件管理!$AD$5:$AD$104,"&lt;"&amp;DATE(2026,12,1),案件管理!$AE$5:$AE$104,$A35)</f>
        <v/>
      </c>
      <c r="Q35" s="37">
        <f>COUNTIFS(案件管理!$AD$5:$AD$104,"&gt;="&amp;DATE(2026,11,1),案件管理!$AD$5:$AD$104,"&lt;"&amp;DATE(2026,12,1),案件管理!$AE$5:$AE$104,$A35,案件管理!$F$5:$F$104,"&gt;="&amp;判定基準!$B$32,案件管理!$F$5:$F$104,"&lt;="&amp;判定基準!$B$33,案件管理!$G$5:$G$104,"&lt;="&amp;判定基準!$B$34,案件管理!$D$5:$D$104,"&lt;&gt;"&amp;判定基準!$B$35)</f>
        <v/>
      </c>
      <c r="R35" s="37">
        <f>COUNTIFS(案件管理!$AD$5:$AD$104,"&gt;="&amp;DATE(2026,12,1),案件管理!$AD$5:$AD$104,"&lt;"&amp;DATE(2027,1,1),案件管理!$AE$5:$AE$104,$A35)</f>
        <v/>
      </c>
      <c r="S35" s="37">
        <f>COUNTIFS(案件管理!$AD$5:$AD$104,"&gt;="&amp;DATE(2026,12,1),案件管理!$AD$5:$AD$104,"&lt;"&amp;DATE(2027,1,1),案件管理!$AE$5:$AE$104,$A35,案件管理!$F$5:$F$104,"&gt;="&amp;判定基準!$B$32,案件管理!$F$5:$F$104,"&lt;="&amp;判定基準!$B$33,案件管理!$G$5:$G$104,"&lt;="&amp;判定基準!$B$34,案件管理!$D$5:$D$104,"&lt;&gt;"&amp;判定基準!$B$35)</f>
        <v/>
      </c>
      <c r="T35" s="37">
        <f>COUNTIFS(案件管理!$AD$5:$AD$104,"&gt;="&amp;DATE(2027,1,1),案件管理!$AD$5:$AD$104,"&lt;"&amp;DATE(2027,2,1),案件管理!$AE$5:$AE$104,$A35)</f>
        <v/>
      </c>
      <c r="U35" s="37">
        <f>COUNTIFS(案件管理!$AD$5:$AD$104,"&gt;="&amp;DATE(2027,1,1),案件管理!$AD$5:$AD$104,"&lt;"&amp;DATE(2027,2,1),案件管理!$AE$5:$AE$104,$A35,案件管理!$F$5:$F$104,"&gt;="&amp;判定基準!$B$32,案件管理!$F$5:$F$104,"&lt;="&amp;判定基準!$B$33,案件管理!$G$5:$G$104,"&lt;="&amp;判定基準!$B$34,案件管理!$D$5:$D$104,"&lt;&gt;"&amp;判定基準!$B$35)</f>
        <v/>
      </c>
      <c r="V35" s="37">
        <f>COUNTIFS(案件管理!$AD$5:$AD$104,"&gt;="&amp;DATE(2027,2,1),案件管理!$AD$5:$AD$104,"&lt;"&amp;DATE(2027,3,1),案件管理!$AE$5:$AE$104,$A35)</f>
        <v/>
      </c>
      <c r="W35" s="37">
        <f>COUNTIFS(案件管理!$AD$5:$AD$104,"&gt;="&amp;DATE(2027,2,1),案件管理!$AD$5:$AD$104,"&lt;"&amp;DATE(2027,3,1),案件管理!$AE$5:$AE$104,$A35,案件管理!$F$5:$F$104,"&gt;="&amp;判定基準!$B$32,案件管理!$F$5:$F$104,"&lt;="&amp;判定基準!$B$33,案件管理!$G$5:$G$104,"&lt;="&amp;判定基準!$B$34,案件管理!$D$5:$D$104,"&lt;&gt;"&amp;判定基準!$B$35)</f>
        <v/>
      </c>
      <c r="X35" s="37">
        <f>COUNTIFS(案件管理!$AD$5:$AD$104,"&gt;="&amp;DATE(2027,3,1),案件管理!$AD$5:$AD$104,"&lt;"&amp;DATE(2027,4,1),案件管理!$AE$5:$AE$104,$A35)</f>
        <v/>
      </c>
      <c r="Y35" s="37">
        <f>COUNTIFS(案件管理!$AD$5:$AD$104,"&gt;="&amp;DATE(2027,3,1),案件管理!$AD$5:$AD$104,"&lt;"&amp;DATE(2027,4,1),案件管理!$AE$5:$AE$104,$A35,案件管理!$F$5:$F$104,"&gt;="&amp;判定基準!$B$32,案件管理!$F$5:$F$104,"&lt;="&amp;判定基準!$B$33,案件管理!$G$5:$G$104,"&lt;="&amp;判定基準!$B$34,案件管理!$D$5:$D$104,"&lt;&gt;"&amp;判定基準!$B$35)</f>
        <v/>
      </c>
      <c r="Z35" s="37">
        <f>COUNTIFS(案件管理!$AD$5:$AD$104,"&gt;="&amp;DATE(2027,4,1),案件管理!$AD$5:$AD$104,"&lt;"&amp;DATE(2027,5,1),案件管理!$AE$5:$AE$104,$A35)</f>
        <v/>
      </c>
      <c r="AA35" s="37">
        <f>COUNTIFS(案件管理!$AD$5:$AD$104,"&gt;="&amp;DATE(2027,4,1),案件管理!$AD$5:$AD$104,"&lt;"&amp;DATE(2027,5,1),案件管理!$AE$5:$AE$104,$A35,案件管理!$F$5:$F$104,"&gt;="&amp;判定基準!$B$32,案件管理!$F$5:$F$104,"&lt;="&amp;判定基準!$B$33,案件管理!$G$5:$G$104,"&lt;="&amp;判定基準!$B$34,案件管理!$D$5:$D$104,"&lt;&gt;"&amp;判定基準!$B$35)</f>
        <v/>
      </c>
      <c r="AB35" s="37">
        <f>COUNTIFS(案件管理!$AD$5:$AD$104,"&gt;="&amp;DATE(2027,5,1),案件管理!$AD$5:$AD$104,"&lt;"&amp;DATE(2027,6,1),案件管理!$AE$5:$AE$104,$A35)</f>
        <v/>
      </c>
      <c r="AC35" s="37">
        <f>COUNTIFS(案件管理!$AD$5:$AD$104,"&gt;="&amp;DATE(2027,5,1),案件管理!$AD$5:$AD$104,"&lt;"&amp;DATE(2027,6,1),案件管理!$AE$5:$AE$104,$A35,案件管理!$F$5:$F$104,"&gt;="&amp;判定基準!$B$32,案件管理!$F$5:$F$104,"&lt;="&amp;判定基準!$B$33,案件管理!$G$5:$G$104,"&lt;="&amp;判定基準!$B$34,案件管理!$D$5:$D$104,"&lt;&gt;"&amp;判定基準!$B$35)</f>
        <v/>
      </c>
      <c r="AD35" s="37">
        <f>COUNTIFS(案件管理!$AD$5:$AD$104,"&gt;="&amp;DATE(2027,6,1),案件管理!$AD$5:$AD$104,"&lt;"&amp;DATE(2027,7,1),案件管理!$AE$5:$AE$104,$A35)</f>
        <v/>
      </c>
      <c r="AE35" s="37">
        <f>COUNTIFS(案件管理!$AD$5:$AD$104,"&gt;="&amp;DATE(2027,6,1),案件管理!$AD$5:$AD$104,"&lt;"&amp;DATE(2027,7,1),案件管理!$AE$5:$AE$104,$A35,案件管理!$F$5:$F$104,"&gt;="&amp;判定基準!$B$32,案件管理!$F$5:$F$104,"&lt;="&amp;判定基準!$B$33,案件管理!$G$5:$G$104,"&lt;="&amp;判定基準!$B$34,案件管理!$D$5:$D$104,"&lt;&gt;"&amp;判定基準!$B$35)</f>
        <v/>
      </c>
      <c r="AF35" s="37">
        <f>COUNTIFS(案件管理!$AD$5:$AD$104,"&gt;="&amp;DATE(2027,7,1),案件管理!$AD$5:$AD$104,"&lt;"&amp;DATE(2027,8,1),案件管理!$AE$5:$AE$104,$A35)</f>
        <v/>
      </c>
      <c r="AG35" s="37">
        <f>COUNTIFS(案件管理!$AD$5:$AD$104,"&gt;="&amp;DATE(2027,7,1),案件管理!$AD$5:$AD$104,"&lt;"&amp;DATE(2027,8,1),案件管理!$AE$5:$AE$104,$A35,案件管理!$F$5:$F$104,"&gt;="&amp;判定基準!$B$32,案件管理!$F$5:$F$104,"&lt;="&amp;判定基準!$B$33,案件管理!$G$5:$G$104,"&lt;="&amp;判定基準!$B$34,案件管理!$D$5:$D$104,"&lt;&gt;"&amp;判定基準!$B$35)</f>
        <v/>
      </c>
      <c r="AH35" s="37">
        <f>COUNTIFS(案件管理!$AD$5:$AD$104,"&gt;="&amp;DATE(2027,8,1),案件管理!$AD$5:$AD$104,"&lt;"&amp;DATE(2027,9,1),案件管理!$AE$5:$AE$104,$A35)</f>
        <v/>
      </c>
      <c r="AI35" s="37">
        <f>COUNTIFS(案件管理!$AD$5:$AD$104,"&gt;="&amp;DATE(2027,8,1),案件管理!$AD$5:$AD$104,"&lt;"&amp;DATE(2027,9,1),案件管理!$AE$5:$AE$104,$A35,案件管理!$F$5:$F$104,"&gt;="&amp;判定基準!$B$32,案件管理!$F$5:$F$104,"&lt;="&amp;判定基準!$B$33,案件管理!$G$5:$G$104,"&lt;="&amp;判定基準!$B$34,案件管理!$D$5:$D$104,"&lt;&gt;"&amp;判定基準!$B$35)</f>
        <v/>
      </c>
      <c r="AJ35" s="37">
        <f>L35+N35+P35+R35+T35+V35+X35+Z35+AB35+AD35+AF35+AH35</f>
        <v/>
      </c>
      <c r="AK35" s="37">
        <f>M35+O35+Q35+S35+U35+W35+Y35+AA35+AC35+AE35+AG35+AI35</f>
        <v/>
      </c>
      <c r="AL35" s="38">
        <f>IF(AJ35=0,"",AK35/AJ35)</f>
        <v/>
      </c>
    </row>
    <row r="36">
      <c r="A36" s="23" t="inlineStr">
        <is>
          <t>M&amp;A開発支援株式会社</t>
        </is>
      </c>
      <c r="B36" s="17" t="n"/>
      <c r="C36" s="23" t="n"/>
      <c r="D36" s="23" t="inlineStr">
        <is>
          <t>鳥山</t>
        </is>
      </c>
      <c r="E36" s="23" t="n"/>
      <c r="F36" s="22" t="n">
        <v>46279</v>
      </c>
      <c r="G36" s="20" t="n"/>
      <c r="H36" s="23" t="n"/>
      <c r="I36" s="23" t="n"/>
      <c r="J36" s="23" t="n"/>
      <c r="K36" s="23" t="n"/>
      <c r="L36" s="37">
        <f>COUNTIFS(案件管理!$AD$5:$AD$104,"&gt;="&amp;DATE(2026,9,1),案件管理!$AD$5:$AD$104,"&lt;"&amp;DATE(2026,10,1),案件管理!$AE$5:$AE$104,$A36)</f>
        <v/>
      </c>
      <c r="M36" s="37">
        <f>COUNTIFS(案件管理!$AD$5:$AD$104,"&gt;="&amp;DATE(2026,9,1),案件管理!$AD$5:$AD$104,"&lt;"&amp;DATE(2026,10,1),案件管理!$AE$5:$AE$104,$A36,案件管理!$F$5:$F$104,"&gt;="&amp;判定基準!$B$32,案件管理!$F$5:$F$104,"&lt;="&amp;判定基準!$B$33,案件管理!$G$5:$G$104,"&lt;="&amp;判定基準!$B$34,案件管理!$D$5:$D$104,"&lt;&gt;"&amp;判定基準!$B$35)</f>
        <v/>
      </c>
      <c r="N36" s="37">
        <f>COUNTIFS(案件管理!$AD$5:$AD$104,"&gt;="&amp;DATE(2026,10,1),案件管理!$AD$5:$AD$104,"&lt;"&amp;DATE(2026,11,1),案件管理!$AE$5:$AE$104,$A36)</f>
        <v/>
      </c>
      <c r="O36" s="37">
        <f>COUNTIFS(案件管理!$AD$5:$AD$104,"&gt;="&amp;DATE(2026,10,1),案件管理!$AD$5:$AD$104,"&lt;"&amp;DATE(2026,11,1),案件管理!$AE$5:$AE$104,$A36,案件管理!$F$5:$F$104,"&gt;="&amp;判定基準!$B$32,案件管理!$F$5:$F$104,"&lt;="&amp;判定基準!$B$33,案件管理!$G$5:$G$104,"&lt;="&amp;判定基準!$B$34,案件管理!$D$5:$D$104,"&lt;&gt;"&amp;判定基準!$B$35)</f>
        <v/>
      </c>
      <c r="P36" s="37">
        <f>COUNTIFS(案件管理!$AD$5:$AD$104,"&gt;="&amp;DATE(2026,11,1),案件管理!$AD$5:$AD$104,"&lt;"&amp;DATE(2026,12,1),案件管理!$AE$5:$AE$104,$A36)</f>
        <v/>
      </c>
      <c r="Q36" s="37">
        <f>COUNTIFS(案件管理!$AD$5:$AD$104,"&gt;="&amp;DATE(2026,11,1),案件管理!$AD$5:$AD$104,"&lt;"&amp;DATE(2026,12,1),案件管理!$AE$5:$AE$104,$A36,案件管理!$F$5:$F$104,"&gt;="&amp;判定基準!$B$32,案件管理!$F$5:$F$104,"&lt;="&amp;判定基準!$B$33,案件管理!$G$5:$G$104,"&lt;="&amp;判定基準!$B$34,案件管理!$D$5:$D$104,"&lt;&gt;"&amp;判定基準!$B$35)</f>
        <v/>
      </c>
      <c r="R36" s="37">
        <f>COUNTIFS(案件管理!$AD$5:$AD$104,"&gt;="&amp;DATE(2026,12,1),案件管理!$AD$5:$AD$104,"&lt;"&amp;DATE(2027,1,1),案件管理!$AE$5:$AE$104,$A36)</f>
        <v/>
      </c>
      <c r="S36" s="37">
        <f>COUNTIFS(案件管理!$AD$5:$AD$104,"&gt;="&amp;DATE(2026,12,1),案件管理!$AD$5:$AD$104,"&lt;"&amp;DATE(2027,1,1),案件管理!$AE$5:$AE$104,$A36,案件管理!$F$5:$F$104,"&gt;="&amp;判定基準!$B$32,案件管理!$F$5:$F$104,"&lt;="&amp;判定基準!$B$33,案件管理!$G$5:$G$104,"&lt;="&amp;判定基準!$B$34,案件管理!$D$5:$D$104,"&lt;&gt;"&amp;判定基準!$B$35)</f>
        <v/>
      </c>
      <c r="T36" s="37">
        <f>COUNTIFS(案件管理!$AD$5:$AD$104,"&gt;="&amp;DATE(2027,1,1),案件管理!$AD$5:$AD$104,"&lt;"&amp;DATE(2027,2,1),案件管理!$AE$5:$AE$104,$A36)</f>
        <v/>
      </c>
      <c r="U36" s="37">
        <f>COUNTIFS(案件管理!$AD$5:$AD$104,"&gt;="&amp;DATE(2027,1,1),案件管理!$AD$5:$AD$104,"&lt;"&amp;DATE(2027,2,1),案件管理!$AE$5:$AE$104,$A36,案件管理!$F$5:$F$104,"&gt;="&amp;判定基準!$B$32,案件管理!$F$5:$F$104,"&lt;="&amp;判定基準!$B$33,案件管理!$G$5:$G$104,"&lt;="&amp;判定基準!$B$34,案件管理!$D$5:$D$104,"&lt;&gt;"&amp;判定基準!$B$35)</f>
        <v/>
      </c>
      <c r="V36" s="37">
        <f>COUNTIFS(案件管理!$AD$5:$AD$104,"&gt;="&amp;DATE(2027,2,1),案件管理!$AD$5:$AD$104,"&lt;"&amp;DATE(2027,3,1),案件管理!$AE$5:$AE$104,$A36)</f>
        <v/>
      </c>
      <c r="W36" s="37">
        <f>COUNTIFS(案件管理!$AD$5:$AD$104,"&gt;="&amp;DATE(2027,2,1),案件管理!$AD$5:$AD$104,"&lt;"&amp;DATE(2027,3,1),案件管理!$AE$5:$AE$104,$A36,案件管理!$F$5:$F$104,"&gt;="&amp;判定基準!$B$32,案件管理!$F$5:$F$104,"&lt;="&amp;判定基準!$B$33,案件管理!$G$5:$G$104,"&lt;="&amp;判定基準!$B$34,案件管理!$D$5:$D$104,"&lt;&gt;"&amp;判定基準!$B$35)</f>
        <v/>
      </c>
      <c r="X36" s="37">
        <f>COUNTIFS(案件管理!$AD$5:$AD$104,"&gt;="&amp;DATE(2027,3,1),案件管理!$AD$5:$AD$104,"&lt;"&amp;DATE(2027,4,1),案件管理!$AE$5:$AE$104,$A36)</f>
        <v/>
      </c>
      <c r="Y36" s="37">
        <f>COUNTIFS(案件管理!$AD$5:$AD$104,"&gt;="&amp;DATE(2027,3,1),案件管理!$AD$5:$AD$104,"&lt;"&amp;DATE(2027,4,1),案件管理!$AE$5:$AE$104,$A36,案件管理!$F$5:$F$104,"&gt;="&amp;判定基準!$B$32,案件管理!$F$5:$F$104,"&lt;="&amp;判定基準!$B$33,案件管理!$G$5:$G$104,"&lt;="&amp;判定基準!$B$34,案件管理!$D$5:$D$104,"&lt;&gt;"&amp;判定基準!$B$35)</f>
        <v/>
      </c>
      <c r="Z36" s="37">
        <f>COUNTIFS(案件管理!$AD$5:$AD$104,"&gt;="&amp;DATE(2027,4,1),案件管理!$AD$5:$AD$104,"&lt;"&amp;DATE(2027,5,1),案件管理!$AE$5:$AE$104,$A36)</f>
        <v/>
      </c>
      <c r="AA36" s="37">
        <f>COUNTIFS(案件管理!$AD$5:$AD$104,"&gt;="&amp;DATE(2027,4,1),案件管理!$AD$5:$AD$104,"&lt;"&amp;DATE(2027,5,1),案件管理!$AE$5:$AE$104,$A36,案件管理!$F$5:$F$104,"&gt;="&amp;判定基準!$B$32,案件管理!$F$5:$F$104,"&lt;="&amp;判定基準!$B$33,案件管理!$G$5:$G$104,"&lt;="&amp;判定基準!$B$34,案件管理!$D$5:$D$104,"&lt;&gt;"&amp;判定基準!$B$35)</f>
        <v/>
      </c>
      <c r="AB36" s="37">
        <f>COUNTIFS(案件管理!$AD$5:$AD$104,"&gt;="&amp;DATE(2027,5,1),案件管理!$AD$5:$AD$104,"&lt;"&amp;DATE(2027,6,1),案件管理!$AE$5:$AE$104,$A36)</f>
        <v/>
      </c>
      <c r="AC36" s="37">
        <f>COUNTIFS(案件管理!$AD$5:$AD$104,"&gt;="&amp;DATE(2027,5,1),案件管理!$AD$5:$AD$104,"&lt;"&amp;DATE(2027,6,1),案件管理!$AE$5:$AE$104,$A36,案件管理!$F$5:$F$104,"&gt;="&amp;判定基準!$B$32,案件管理!$F$5:$F$104,"&lt;="&amp;判定基準!$B$33,案件管理!$G$5:$G$104,"&lt;="&amp;判定基準!$B$34,案件管理!$D$5:$D$104,"&lt;&gt;"&amp;判定基準!$B$35)</f>
        <v/>
      </c>
      <c r="AD36" s="37">
        <f>COUNTIFS(案件管理!$AD$5:$AD$104,"&gt;="&amp;DATE(2027,6,1),案件管理!$AD$5:$AD$104,"&lt;"&amp;DATE(2027,7,1),案件管理!$AE$5:$AE$104,$A36)</f>
        <v/>
      </c>
      <c r="AE36" s="37">
        <f>COUNTIFS(案件管理!$AD$5:$AD$104,"&gt;="&amp;DATE(2027,6,1),案件管理!$AD$5:$AD$104,"&lt;"&amp;DATE(2027,7,1),案件管理!$AE$5:$AE$104,$A36,案件管理!$F$5:$F$104,"&gt;="&amp;判定基準!$B$32,案件管理!$F$5:$F$104,"&lt;="&amp;判定基準!$B$33,案件管理!$G$5:$G$104,"&lt;="&amp;判定基準!$B$34,案件管理!$D$5:$D$104,"&lt;&gt;"&amp;判定基準!$B$35)</f>
        <v/>
      </c>
      <c r="AF36" s="37">
        <f>COUNTIFS(案件管理!$AD$5:$AD$104,"&gt;="&amp;DATE(2027,7,1),案件管理!$AD$5:$AD$104,"&lt;"&amp;DATE(2027,8,1),案件管理!$AE$5:$AE$104,$A36)</f>
        <v/>
      </c>
      <c r="AG36" s="37">
        <f>COUNTIFS(案件管理!$AD$5:$AD$104,"&gt;="&amp;DATE(2027,7,1),案件管理!$AD$5:$AD$104,"&lt;"&amp;DATE(2027,8,1),案件管理!$AE$5:$AE$104,$A36,案件管理!$F$5:$F$104,"&gt;="&amp;判定基準!$B$32,案件管理!$F$5:$F$104,"&lt;="&amp;判定基準!$B$33,案件管理!$G$5:$G$104,"&lt;="&amp;判定基準!$B$34,案件管理!$D$5:$D$104,"&lt;&gt;"&amp;判定基準!$B$35)</f>
        <v/>
      </c>
      <c r="AH36" s="37">
        <f>COUNTIFS(案件管理!$AD$5:$AD$104,"&gt;="&amp;DATE(2027,8,1),案件管理!$AD$5:$AD$104,"&lt;"&amp;DATE(2027,9,1),案件管理!$AE$5:$AE$104,$A36)</f>
        <v/>
      </c>
      <c r="AI36" s="37">
        <f>COUNTIFS(案件管理!$AD$5:$AD$104,"&gt;="&amp;DATE(2027,8,1),案件管理!$AD$5:$AD$104,"&lt;"&amp;DATE(2027,9,1),案件管理!$AE$5:$AE$104,$A36,案件管理!$F$5:$F$104,"&gt;="&amp;判定基準!$B$32,案件管理!$F$5:$F$104,"&lt;="&amp;判定基準!$B$33,案件管理!$G$5:$G$104,"&lt;="&amp;判定基準!$B$34,案件管理!$D$5:$D$104,"&lt;&gt;"&amp;判定基準!$B$35)</f>
        <v/>
      </c>
      <c r="AJ36" s="37">
        <f>L36+N36+P36+R36+T36+V36+X36+Z36+AB36+AD36+AF36+AH36</f>
        <v/>
      </c>
      <c r="AK36" s="37">
        <f>M36+O36+Q36+S36+U36+W36+Y36+AA36+AC36+AE36+AG36+AI36</f>
        <v/>
      </c>
      <c r="AL36" s="38">
        <f>IF(AJ36=0,"",AK36/AJ36)</f>
        <v/>
      </c>
    </row>
    <row r="37">
      <c r="A37" s="23" t="inlineStr">
        <is>
          <t>株式会社BTIX</t>
        </is>
      </c>
      <c r="B37" s="17" t="n"/>
      <c r="C37" s="23" t="n"/>
      <c r="D37" s="23" t="inlineStr">
        <is>
          <t>東</t>
        </is>
      </c>
      <c r="E37" s="23" t="n"/>
      <c r="F37" s="23" t="n"/>
      <c r="G37" s="20" t="n"/>
      <c r="H37" s="23" t="n"/>
      <c r="I37" s="23" t="n"/>
      <c r="J37" s="23" t="n"/>
      <c r="K37" s="23" t="n"/>
      <c r="L37" s="37">
        <f>COUNTIFS(案件管理!$AD$5:$AD$104,"&gt;="&amp;DATE(2026,9,1),案件管理!$AD$5:$AD$104,"&lt;"&amp;DATE(2026,10,1),案件管理!$AE$5:$AE$104,$A37)</f>
        <v/>
      </c>
      <c r="M37" s="37">
        <f>COUNTIFS(案件管理!$AD$5:$AD$104,"&gt;="&amp;DATE(2026,9,1),案件管理!$AD$5:$AD$104,"&lt;"&amp;DATE(2026,10,1),案件管理!$AE$5:$AE$104,$A37,案件管理!$F$5:$F$104,"&gt;="&amp;判定基準!$B$32,案件管理!$F$5:$F$104,"&lt;="&amp;判定基準!$B$33,案件管理!$G$5:$G$104,"&lt;="&amp;判定基準!$B$34,案件管理!$D$5:$D$104,"&lt;&gt;"&amp;判定基準!$B$35)</f>
        <v/>
      </c>
      <c r="N37" s="37">
        <f>COUNTIFS(案件管理!$AD$5:$AD$104,"&gt;="&amp;DATE(2026,10,1),案件管理!$AD$5:$AD$104,"&lt;"&amp;DATE(2026,11,1),案件管理!$AE$5:$AE$104,$A37)</f>
        <v/>
      </c>
      <c r="O37" s="37">
        <f>COUNTIFS(案件管理!$AD$5:$AD$104,"&gt;="&amp;DATE(2026,10,1),案件管理!$AD$5:$AD$104,"&lt;"&amp;DATE(2026,11,1),案件管理!$AE$5:$AE$104,$A37,案件管理!$F$5:$F$104,"&gt;="&amp;判定基準!$B$32,案件管理!$F$5:$F$104,"&lt;="&amp;判定基準!$B$33,案件管理!$G$5:$G$104,"&lt;="&amp;判定基準!$B$34,案件管理!$D$5:$D$104,"&lt;&gt;"&amp;判定基準!$B$35)</f>
        <v/>
      </c>
      <c r="P37" s="37">
        <f>COUNTIFS(案件管理!$AD$5:$AD$104,"&gt;="&amp;DATE(2026,11,1),案件管理!$AD$5:$AD$104,"&lt;"&amp;DATE(2026,12,1),案件管理!$AE$5:$AE$104,$A37)</f>
        <v/>
      </c>
      <c r="Q37" s="37">
        <f>COUNTIFS(案件管理!$AD$5:$AD$104,"&gt;="&amp;DATE(2026,11,1),案件管理!$AD$5:$AD$104,"&lt;"&amp;DATE(2026,12,1),案件管理!$AE$5:$AE$104,$A37,案件管理!$F$5:$F$104,"&gt;="&amp;判定基準!$B$32,案件管理!$F$5:$F$104,"&lt;="&amp;判定基準!$B$33,案件管理!$G$5:$G$104,"&lt;="&amp;判定基準!$B$34,案件管理!$D$5:$D$104,"&lt;&gt;"&amp;判定基準!$B$35)</f>
        <v/>
      </c>
      <c r="R37" s="37">
        <f>COUNTIFS(案件管理!$AD$5:$AD$104,"&gt;="&amp;DATE(2026,12,1),案件管理!$AD$5:$AD$104,"&lt;"&amp;DATE(2027,1,1),案件管理!$AE$5:$AE$104,$A37)</f>
        <v/>
      </c>
      <c r="S37" s="37">
        <f>COUNTIFS(案件管理!$AD$5:$AD$104,"&gt;="&amp;DATE(2026,12,1),案件管理!$AD$5:$AD$104,"&lt;"&amp;DATE(2027,1,1),案件管理!$AE$5:$AE$104,$A37,案件管理!$F$5:$F$104,"&gt;="&amp;判定基準!$B$32,案件管理!$F$5:$F$104,"&lt;="&amp;判定基準!$B$33,案件管理!$G$5:$G$104,"&lt;="&amp;判定基準!$B$34,案件管理!$D$5:$D$104,"&lt;&gt;"&amp;判定基準!$B$35)</f>
        <v/>
      </c>
      <c r="T37" s="37">
        <f>COUNTIFS(案件管理!$AD$5:$AD$104,"&gt;="&amp;DATE(2027,1,1),案件管理!$AD$5:$AD$104,"&lt;"&amp;DATE(2027,2,1),案件管理!$AE$5:$AE$104,$A37)</f>
        <v/>
      </c>
      <c r="U37" s="37">
        <f>COUNTIFS(案件管理!$AD$5:$AD$104,"&gt;="&amp;DATE(2027,1,1),案件管理!$AD$5:$AD$104,"&lt;"&amp;DATE(2027,2,1),案件管理!$AE$5:$AE$104,$A37,案件管理!$F$5:$F$104,"&gt;="&amp;判定基準!$B$32,案件管理!$F$5:$F$104,"&lt;="&amp;判定基準!$B$33,案件管理!$G$5:$G$104,"&lt;="&amp;判定基準!$B$34,案件管理!$D$5:$D$104,"&lt;&gt;"&amp;判定基準!$B$35)</f>
        <v/>
      </c>
      <c r="V37" s="37">
        <f>COUNTIFS(案件管理!$AD$5:$AD$104,"&gt;="&amp;DATE(2027,2,1),案件管理!$AD$5:$AD$104,"&lt;"&amp;DATE(2027,3,1),案件管理!$AE$5:$AE$104,$A37)</f>
        <v/>
      </c>
      <c r="W37" s="37">
        <f>COUNTIFS(案件管理!$AD$5:$AD$104,"&gt;="&amp;DATE(2027,2,1),案件管理!$AD$5:$AD$104,"&lt;"&amp;DATE(2027,3,1),案件管理!$AE$5:$AE$104,$A37,案件管理!$F$5:$F$104,"&gt;="&amp;判定基準!$B$32,案件管理!$F$5:$F$104,"&lt;="&amp;判定基準!$B$33,案件管理!$G$5:$G$104,"&lt;="&amp;判定基準!$B$34,案件管理!$D$5:$D$104,"&lt;&gt;"&amp;判定基準!$B$35)</f>
        <v/>
      </c>
      <c r="X37" s="37">
        <f>COUNTIFS(案件管理!$AD$5:$AD$104,"&gt;="&amp;DATE(2027,3,1),案件管理!$AD$5:$AD$104,"&lt;"&amp;DATE(2027,4,1),案件管理!$AE$5:$AE$104,$A37)</f>
        <v/>
      </c>
      <c r="Y37" s="37">
        <f>COUNTIFS(案件管理!$AD$5:$AD$104,"&gt;="&amp;DATE(2027,3,1),案件管理!$AD$5:$AD$104,"&lt;"&amp;DATE(2027,4,1),案件管理!$AE$5:$AE$104,$A37,案件管理!$F$5:$F$104,"&gt;="&amp;判定基準!$B$32,案件管理!$F$5:$F$104,"&lt;="&amp;判定基準!$B$33,案件管理!$G$5:$G$104,"&lt;="&amp;判定基準!$B$34,案件管理!$D$5:$D$104,"&lt;&gt;"&amp;判定基準!$B$35)</f>
        <v/>
      </c>
      <c r="Z37" s="37">
        <f>COUNTIFS(案件管理!$AD$5:$AD$104,"&gt;="&amp;DATE(2027,4,1),案件管理!$AD$5:$AD$104,"&lt;"&amp;DATE(2027,5,1),案件管理!$AE$5:$AE$104,$A37)</f>
        <v/>
      </c>
      <c r="AA37" s="37">
        <f>COUNTIFS(案件管理!$AD$5:$AD$104,"&gt;="&amp;DATE(2027,4,1),案件管理!$AD$5:$AD$104,"&lt;"&amp;DATE(2027,5,1),案件管理!$AE$5:$AE$104,$A37,案件管理!$F$5:$F$104,"&gt;="&amp;判定基準!$B$32,案件管理!$F$5:$F$104,"&lt;="&amp;判定基準!$B$33,案件管理!$G$5:$G$104,"&lt;="&amp;判定基準!$B$34,案件管理!$D$5:$D$104,"&lt;&gt;"&amp;判定基準!$B$35)</f>
        <v/>
      </c>
      <c r="AB37" s="37">
        <f>COUNTIFS(案件管理!$AD$5:$AD$104,"&gt;="&amp;DATE(2027,5,1),案件管理!$AD$5:$AD$104,"&lt;"&amp;DATE(2027,6,1),案件管理!$AE$5:$AE$104,$A37)</f>
        <v/>
      </c>
      <c r="AC37" s="37">
        <f>COUNTIFS(案件管理!$AD$5:$AD$104,"&gt;="&amp;DATE(2027,5,1),案件管理!$AD$5:$AD$104,"&lt;"&amp;DATE(2027,6,1),案件管理!$AE$5:$AE$104,$A37,案件管理!$F$5:$F$104,"&gt;="&amp;判定基準!$B$32,案件管理!$F$5:$F$104,"&lt;="&amp;判定基準!$B$33,案件管理!$G$5:$G$104,"&lt;="&amp;判定基準!$B$34,案件管理!$D$5:$D$104,"&lt;&gt;"&amp;判定基準!$B$35)</f>
        <v/>
      </c>
      <c r="AD37" s="37">
        <f>COUNTIFS(案件管理!$AD$5:$AD$104,"&gt;="&amp;DATE(2027,6,1),案件管理!$AD$5:$AD$104,"&lt;"&amp;DATE(2027,7,1),案件管理!$AE$5:$AE$104,$A37)</f>
        <v/>
      </c>
      <c r="AE37" s="37">
        <f>COUNTIFS(案件管理!$AD$5:$AD$104,"&gt;="&amp;DATE(2027,6,1),案件管理!$AD$5:$AD$104,"&lt;"&amp;DATE(2027,7,1),案件管理!$AE$5:$AE$104,$A37,案件管理!$F$5:$F$104,"&gt;="&amp;判定基準!$B$32,案件管理!$F$5:$F$104,"&lt;="&amp;判定基準!$B$33,案件管理!$G$5:$G$104,"&lt;="&amp;判定基準!$B$34,案件管理!$D$5:$D$104,"&lt;&gt;"&amp;判定基準!$B$35)</f>
        <v/>
      </c>
      <c r="AF37" s="37">
        <f>COUNTIFS(案件管理!$AD$5:$AD$104,"&gt;="&amp;DATE(2027,7,1),案件管理!$AD$5:$AD$104,"&lt;"&amp;DATE(2027,8,1),案件管理!$AE$5:$AE$104,$A37)</f>
        <v/>
      </c>
      <c r="AG37" s="37">
        <f>COUNTIFS(案件管理!$AD$5:$AD$104,"&gt;="&amp;DATE(2027,7,1),案件管理!$AD$5:$AD$104,"&lt;"&amp;DATE(2027,8,1),案件管理!$AE$5:$AE$104,$A37,案件管理!$F$5:$F$104,"&gt;="&amp;判定基準!$B$32,案件管理!$F$5:$F$104,"&lt;="&amp;判定基準!$B$33,案件管理!$G$5:$G$104,"&lt;="&amp;判定基準!$B$34,案件管理!$D$5:$D$104,"&lt;&gt;"&amp;判定基準!$B$35)</f>
        <v/>
      </c>
      <c r="AH37" s="37">
        <f>COUNTIFS(案件管理!$AD$5:$AD$104,"&gt;="&amp;DATE(2027,8,1),案件管理!$AD$5:$AD$104,"&lt;"&amp;DATE(2027,9,1),案件管理!$AE$5:$AE$104,$A37)</f>
        <v/>
      </c>
      <c r="AI37" s="37">
        <f>COUNTIFS(案件管理!$AD$5:$AD$104,"&gt;="&amp;DATE(2027,8,1),案件管理!$AD$5:$AD$104,"&lt;"&amp;DATE(2027,9,1),案件管理!$AE$5:$AE$104,$A37,案件管理!$F$5:$F$104,"&gt;="&amp;判定基準!$B$32,案件管理!$F$5:$F$104,"&lt;="&amp;判定基準!$B$33,案件管理!$G$5:$G$104,"&lt;="&amp;判定基準!$B$34,案件管理!$D$5:$D$104,"&lt;&gt;"&amp;判定基準!$B$35)</f>
        <v/>
      </c>
      <c r="AJ37" s="37">
        <f>L37+N37+P37+R37+T37+V37+X37+Z37+AB37+AD37+AF37+AH37</f>
        <v/>
      </c>
      <c r="AK37" s="37">
        <f>M37+O37+Q37+S37+U37+W37+Y37+AA37+AC37+AE37+AG37+AI37</f>
        <v/>
      </c>
      <c r="AL37" s="38">
        <f>IF(AJ37=0,"",AK37/AJ37)</f>
        <v/>
      </c>
    </row>
    <row r="38">
      <c r="A38" s="23" t="inlineStr">
        <is>
          <t>M&amp;Aプロパティーズ株式会社</t>
        </is>
      </c>
      <c r="B38" s="17" t="n"/>
      <c r="C38" s="23" t="n"/>
      <c r="D38" s="23" t="inlineStr">
        <is>
          <t>チョウ</t>
        </is>
      </c>
      <c r="E38" s="22" t="n">
        <v>46265</v>
      </c>
      <c r="F38" s="23" t="n"/>
      <c r="G38" s="20" t="n"/>
      <c r="H38" s="23" t="n"/>
      <c r="I38" s="23" t="n"/>
      <c r="J38" s="23" t="n"/>
      <c r="K38" s="23" t="n"/>
      <c r="L38" s="37">
        <f>COUNTIFS(案件管理!$AD$5:$AD$104,"&gt;="&amp;DATE(2026,9,1),案件管理!$AD$5:$AD$104,"&lt;"&amp;DATE(2026,10,1),案件管理!$AE$5:$AE$104,$A38)</f>
        <v/>
      </c>
      <c r="M38" s="37">
        <f>COUNTIFS(案件管理!$AD$5:$AD$104,"&gt;="&amp;DATE(2026,9,1),案件管理!$AD$5:$AD$104,"&lt;"&amp;DATE(2026,10,1),案件管理!$AE$5:$AE$104,$A38,案件管理!$F$5:$F$104,"&gt;="&amp;判定基準!$B$32,案件管理!$F$5:$F$104,"&lt;="&amp;判定基準!$B$33,案件管理!$G$5:$G$104,"&lt;="&amp;判定基準!$B$34,案件管理!$D$5:$D$104,"&lt;&gt;"&amp;判定基準!$B$35)</f>
        <v/>
      </c>
      <c r="N38" s="37">
        <f>COUNTIFS(案件管理!$AD$5:$AD$104,"&gt;="&amp;DATE(2026,10,1),案件管理!$AD$5:$AD$104,"&lt;"&amp;DATE(2026,11,1),案件管理!$AE$5:$AE$104,$A38)</f>
        <v/>
      </c>
      <c r="O38" s="37">
        <f>COUNTIFS(案件管理!$AD$5:$AD$104,"&gt;="&amp;DATE(2026,10,1),案件管理!$AD$5:$AD$104,"&lt;"&amp;DATE(2026,11,1),案件管理!$AE$5:$AE$104,$A38,案件管理!$F$5:$F$104,"&gt;="&amp;判定基準!$B$32,案件管理!$F$5:$F$104,"&lt;="&amp;判定基準!$B$33,案件管理!$G$5:$G$104,"&lt;="&amp;判定基準!$B$34,案件管理!$D$5:$D$104,"&lt;&gt;"&amp;判定基準!$B$35)</f>
        <v/>
      </c>
      <c r="P38" s="37">
        <f>COUNTIFS(案件管理!$AD$5:$AD$104,"&gt;="&amp;DATE(2026,11,1),案件管理!$AD$5:$AD$104,"&lt;"&amp;DATE(2026,12,1),案件管理!$AE$5:$AE$104,$A38)</f>
        <v/>
      </c>
      <c r="Q38" s="37">
        <f>COUNTIFS(案件管理!$AD$5:$AD$104,"&gt;="&amp;DATE(2026,11,1),案件管理!$AD$5:$AD$104,"&lt;"&amp;DATE(2026,12,1),案件管理!$AE$5:$AE$104,$A38,案件管理!$F$5:$F$104,"&gt;="&amp;判定基準!$B$32,案件管理!$F$5:$F$104,"&lt;="&amp;判定基準!$B$33,案件管理!$G$5:$G$104,"&lt;="&amp;判定基準!$B$34,案件管理!$D$5:$D$104,"&lt;&gt;"&amp;判定基準!$B$35)</f>
        <v/>
      </c>
      <c r="R38" s="37">
        <f>COUNTIFS(案件管理!$AD$5:$AD$104,"&gt;="&amp;DATE(2026,12,1),案件管理!$AD$5:$AD$104,"&lt;"&amp;DATE(2027,1,1),案件管理!$AE$5:$AE$104,$A38)</f>
        <v/>
      </c>
      <c r="S38" s="37">
        <f>COUNTIFS(案件管理!$AD$5:$AD$104,"&gt;="&amp;DATE(2026,12,1),案件管理!$AD$5:$AD$104,"&lt;"&amp;DATE(2027,1,1),案件管理!$AE$5:$AE$104,$A38,案件管理!$F$5:$F$104,"&gt;="&amp;判定基準!$B$32,案件管理!$F$5:$F$104,"&lt;="&amp;判定基準!$B$33,案件管理!$G$5:$G$104,"&lt;="&amp;判定基準!$B$34,案件管理!$D$5:$D$104,"&lt;&gt;"&amp;判定基準!$B$35)</f>
        <v/>
      </c>
      <c r="T38" s="37">
        <f>COUNTIFS(案件管理!$AD$5:$AD$104,"&gt;="&amp;DATE(2027,1,1),案件管理!$AD$5:$AD$104,"&lt;"&amp;DATE(2027,2,1),案件管理!$AE$5:$AE$104,$A38)</f>
        <v/>
      </c>
      <c r="U38" s="37">
        <f>COUNTIFS(案件管理!$AD$5:$AD$104,"&gt;="&amp;DATE(2027,1,1),案件管理!$AD$5:$AD$104,"&lt;"&amp;DATE(2027,2,1),案件管理!$AE$5:$AE$104,$A38,案件管理!$F$5:$F$104,"&gt;="&amp;判定基準!$B$32,案件管理!$F$5:$F$104,"&lt;="&amp;判定基準!$B$33,案件管理!$G$5:$G$104,"&lt;="&amp;判定基準!$B$34,案件管理!$D$5:$D$104,"&lt;&gt;"&amp;判定基準!$B$35)</f>
        <v/>
      </c>
      <c r="V38" s="37">
        <f>COUNTIFS(案件管理!$AD$5:$AD$104,"&gt;="&amp;DATE(2027,2,1),案件管理!$AD$5:$AD$104,"&lt;"&amp;DATE(2027,3,1),案件管理!$AE$5:$AE$104,$A38)</f>
        <v/>
      </c>
      <c r="W38" s="37">
        <f>COUNTIFS(案件管理!$AD$5:$AD$104,"&gt;="&amp;DATE(2027,2,1),案件管理!$AD$5:$AD$104,"&lt;"&amp;DATE(2027,3,1),案件管理!$AE$5:$AE$104,$A38,案件管理!$F$5:$F$104,"&gt;="&amp;判定基準!$B$32,案件管理!$F$5:$F$104,"&lt;="&amp;判定基準!$B$33,案件管理!$G$5:$G$104,"&lt;="&amp;判定基準!$B$34,案件管理!$D$5:$D$104,"&lt;&gt;"&amp;判定基準!$B$35)</f>
        <v/>
      </c>
      <c r="X38" s="37">
        <f>COUNTIFS(案件管理!$AD$5:$AD$104,"&gt;="&amp;DATE(2027,3,1),案件管理!$AD$5:$AD$104,"&lt;"&amp;DATE(2027,4,1),案件管理!$AE$5:$AE$104,$A38)</f>
        <v/>
      </c>
      <c r="Y38" s="37">
        <f>COUNTIFS(案件管理!$AD$5:$AD$104,"&gt;="&amp;DATE(2027,3,1),案件管理!$AD$5:$AD$104,"&lt;"&amp;DATE(2027,4,1),案件管理!$AE$5:$AE$104,$A38,案件管理!$F$5:$F$104,"&gt;="&amp;判定基準!$B$32,案件管理!$F$5:$F$104,"&lt;="&amp;判定基準!$B$33,案件管理!$G$5:$G$104,"&lt;="&amp;判定基準!$B$34,案件管理!$D$5:$D$104,"&lt;&gt;"&amp;判定基準!$B$35)</f>
        <v/>
      </c>
      <c r="Z38" s="37">
        <f>COUNTIFS(案件管理!$AD$5:$AD$104,"&gt;="&amp;DATE(2027,4,1),案件管理!$AD$5:$AD$104,"&lt;"&amp;DATE(2027,5,1),案件管理!$AE$5:$AE$104,$A38)</f>
        <v/>
      </c>
      <c r="AA38" s="37">
        <f>COUNTIFS(案件管理!$AD$5:$AD$104,"&gt;="&amp;DATE(2027,4,1),案件管理!$AD$5:$AD$104,"&lt;"&amp;DATE(2027,5,1),案件管理!$AE$5:$AE$104,$A38,案件管理!$F$5:$F$104,"&gt;="&amp;判定基準!$B$32,案件管理!$F$5:$F$104,"&lt;="&amp;判定基準!$B$33,案件管理!$G$5:$G$104,"&lt;="&amp;判定基準!$B$34,案件管理!$D$5:$D$104,"&lt;&gt;"&amp;判定基準!$B$35)</f>
        <v/>
      </c>
      <c r="AB38" s="37">
        <f>COUNTIFS(案件管理!$AD$5:$AD$104,"&gt;="&amp;DATE(2027,5,1),案件管理!$AD$5:$AD$104,"&lt;"&amp;DATE(2027,6,1),案件管理!$AE$5:$AE$104,$A38)</f>
        <v/>
      </c>
      <c r="AC38" s="37">
        <f>COUNTIFS(案件管理!$AD$5:$AD$104,"&gt;="&amp;DATE(2027,5,1),案件管理!$AD$5:$AD$104,"&lt;"&amp;DATE(2027,6,1),案件管理!$AE$5:$AE$104,$A38,案件管理!$F$5:$F$104,"&gt;="&amp;判定基準!$B$32,案件管理!$F$5:$F$104,"&lt;="&amp;判定基準!$B$33,案件管理!$G$5:$G$104,"&lt;="&amp;判定基準!$B$34,案件管理!$D$5:$D$104,"&lt;&gt;"&amp;判定基準!$B$35)</f>
        <v/>
      </c>
      <c r="AD38" s="37">
        <f>COUNTIFS(案件管理!$AD$5:$AD$104,"&gt;="&amp;DATE(2027,6,1),案件管理!$AD$5:$AD$104,"&lt;"&amp;DATE(2027,7,1),案件管理!$AE$5:$AE$104,$A38)</f>
        <v/>
      </c>
      <c r="AE38" s="37">
        <f>COUNTIFS(案件管理!$AD$5:$AD$104,"&gt;="&amp;DATE(2027,6,1),案件管理!$AD$5:$AD$104,"&lt;"&amp;DATE(2027,7,1),案件管理!$AE$5:$AE$104,$A38,案件管理!$F$5:$F$104,"&gt;="&amp;判定基準!$B$32,案件管理!$F$5:$F$104,"&lt;="&amp;判定基準!$B$33,案件管理!$G$5:$G$104,"&lt;="&amp;判定基準!$B$34,案件管理!$D$5:$D$104,"&lt;&gt;"&amp;判定基準!$B$35)</f>
        <v/>
      </c>
      <c r="AF38" s="37">
        <f>COUNTIFS(案件管理!$AD$5:$AD$104,"&gt;="&amp;DATE(2027,7,1),案件管理!$AD$5:$AD$104,"&lt;"&amp;DATE(2027,8,1),案件管理!$AE$5:$AE$104,$A38)</f>
        <v/>
      </c>
      <c r="AG38" s="37">
        <f>COUNTIFS(案件管理!$AD$5:$AD$104,"&gt;="&amp;DATE(2027,7,1),案件管理!$AD$5:$AD$104,"&lt;"&amp;DATE(2027,8,1),案件管理!$AE$5:$AE$104,$A38,案件管理!$F$5:$F$104,"&gt;="&amp;判定基準!$B$32,案件管理!$F$5:$F$104,"&lt;="&amp;判定基準!$B$33,案件管理!$G$5:$G$104,"&lt;="&amp;判定基準!$B$34,案件管理!$D$5:$D$104,"&lt;&gt;"&amp;判定基準!$B$35)</f>
        <v/>
      </c>
      <c r="AH38" s="37">
        <f>COUNTIFS(案件管理!$AD$5:$AD$104,"&gt;="&amp;DATE(2027,8,1),案件管理!$AD$5:$AD$104,"&lt;"&amp;DATE(2027,9,1),案件管理!$AE$5:$AE$104,$A38)</f>
        <v/>
      </c>
      <c r="AI38" s="37">
        <f>COUNTIFS(案件管理!$AD$5:$AD$104,"&gt;="&amp;DATE(2027,8,1),案件管理!$AD$5:$AD$104,"&lt;"&amp;DATE(2027,9,1),案件管理!$AE$5:$AE$104,$A38,案件管理!$F$5:$F$104,"&gt;="&amp;判定基準!$B$32,案件管理!$F$5:$F$104,"&lt;="&amp;判定基準!$B$33,案件管理!$G$5:$G$104,"&lt;="&amp;判定基準!$B$34,案件管理!$D$5:$D$104,"&lt;&gt;"&amp;判定基準!$B$35)</f>
        <v/>
      </c>
      <c r="AJ38" s="37">
        <f>L38+N38+P38+R38+T38+V38+X38+Z38+AB38+AD38+AF38+AH38</f>
        <v/>
      </c>
      <c r="AK38" s="37">
        <f>M38+O38+Q38+S38+U38+W38+Y38+AA38+AC38+AE38+AG38+AI38</f>
        <v/>
      </c>
      <c r="AL38" s="38">
        <f>IF(AJ38=0,"",AK38/AJ38)</f>
        <v/>
      </c>
    </row>
    <row r="39">
      <c r="A39" s="23" t="inlineStr">
        <is>
          <t>みつきコンサルティング株式会社</t>
        </is>
      </c>
      <c r="B39" s="17" t="n"/>
      <c r="C39" s="23" t="inlineStr">
        <is>
          <t>C</t>
        </is>
      </c>
      <c r="D39" s="23" t="n"/>
      <c r="E39" s="22" t="n">
        <v>46280</v>
      </c>
      <c r="F39" s="22" t="n">
        <v>45078</v>
      </c>
      <c r="G39" s="20" t="n"/>
      <c r="H39" s="23" t="n"/>
      <c r="I39" s="23" t="n"/>
      <c r="J39" s="23" t="n"/>
      <c r="K39" s="23" t="n"/>
      <c r="L39" s="37">
        <f>COUNTIFS(案件管理!$AD$5:$AD$104,"&gt;="&amp;DATE(2026,9,1),案件管理!$AD$5:$AD$104,"&lt;"&amp;DATE(2026,10,1),案件管理!$AE$5:$AE$104,$A39)</f>
        <v/>
      </c>
      <c r="M39" s="37">
        <f>COUNTIFS(案件管理!$AD$5:$AD$104,"&gt;="&amp;DATE(2026,9,1),案件管理!$AD$5:$AD$104,"&lt;"&amp;DATE(2026,10,1),案件管理!$AE$5:$AE$104,$A39,案件管理!$F$5:$F$104,"&gt;="&amp;判定基準!$B$32,案件管理!$F$5:$F$104,"&lt;="&amp;判定基準!$B$33,案件管理!$G$5:$G$104,"&lt;="&amp;判定基準!$B$34,案件管理!$D$5:$D$104,"&lt;&gt;"&amp;判定基準!$B$35)</f>
        <v/>
      </c>
      <c r="N39" s="37">
        <f>COUNTIFS(案件管理!$AD$5:$AD$104,"&gt;="&amp;DATE(2026,10,1),案件管理!$AD$5:$AD$104,"&lt;"&amp;DATE(2026,11,1),案件管理!$AE$5:$AE$104,$A39)</f>
        <v/>
      </c>
      <c r="O39" s="37">
        <f>COUNTIFS(案件管理!$AD$5:$AD$104,"&gt;="&amp;DATE(2026,10,1),案件管理!$AD$5:$AD$104,"&lt;"&amp;DATE(2026,11,1),案件管理!$AE$5:$AE$104,$A39,案件管理!$F$5:$F$104,"&gt;="&amp;判定基準!$B$32,案件管理!$F$5:$F$104,"&lt;="&amp;判定基準!$B$33,案件管理!$G$5:$G$104,"&lt;="&amp;判定基準!$B$34,案件管理!$D$5:$D$104,"&lt;&gt;"&amp;判定基準!$B$35)</f>
        <v/>
      </c>
      <c r="P39" s="37">
        <f>COUNTIFS(案件管理!$AD$5:$AD$104,"&gt;="&amp;DATE(2026,11,1),案件管理!$AD$5:$AD$104,"&lt;"&amp;DATE(2026,12,1),案件管理!$AE$5:$AE$104,$A39)</f>
        <v/>
      </c>
      <c r="Q39" s="37">
        <f>COUNTIFS(案件管理!$AD$5:$AD$104,"&gt;="&amp;DATE(2026,11,1),案件管理!$AD$5:$AD$104,"&lt;"&amp;DATE(2026,12,1),案件管理!$AE$5:$AE$104,$A39,案件管理!$F$5:$F$104,"&gt;="&amp;判定基準!$B$32,案件管理!$F$5:$F$104,"&lt;="&amp;判定基準!$B$33,案件管理!$G$5:$G$104,"&lt;="&amp;判定基準!$B$34,案件管理!$D$5:$D$104,"&lt;&gt;"&amp;判定基準!$B$35)</f>
        <v/>
      </c>
      <c r="R39" s="37">
        <f>COUNTIFS(案件管理!$AD$5:$AD$104,"&gt;="&amp;DATE(2026,12,1),案件管理!$AD$5:$AD$104,"&lt;"&amp;DATE(2027,1,1),案件管理!$AE$5:$AE$104,$A39)</f>
        <v/>
      </c>
      <c r="S39" s="37">
        <f>COUNTIFS(案件管理!$AD$5:$AD$104,"&gt;="&amp;DATE(2026,12,1),案件管理!$AD$5:$AD$104,"&lt;"&amp;DATE(2027,1,1),案件管理!$AE$5:$AE$104,$A39,案件管理!$F$5:$F$104,"&gt;="&amp;判定基準!$B$32,案件管理!$F$5:$F$104,"&lt;="&amp;判定基準!$B$33,案件管理!$G$5:$G$104,"&lt;="&amp;判定基準!$B$34,案件管理!$D$5:$D$104,"&lt;&gt;"&amp;判定基準!$B$35)</f>
        <v/>
      </c>
      <c r="T39" s="37">
        <f>COUNTIFS(案件管理!$AD$5:$AD$104,"&gt;="&amp;DATE(2027,1,1),案件管理!$AD$5:$AD$104,"&lt;"&amp;DATE(2027,2,1),案件管理!$AE$5:$AE$104,$A39)</f>
        <v/>
      </c>
      <c r="U39" s="37">
        <f>COUNTIFS(案件管理!$AD$5:$AD$104,"&gt;="&amp;DATE(2027,1,1),案件管理!$AD$5:$AD$104,"&lt;"&amp;DATE(2027,2,1),案件管理!$AE$5:$AE$104,$A39,案件管理!$F$5:$F$104,"&gt;="&amp;判定基準!$B$32,案件管理!$F$5:$F$104,"&lt;="&amp;判定基準!$B$33,案件管理!$G$5:$G$104,"&lt;="&amp;判定基準!$B$34,案件管理!$D$5:$D$104,"&lt;&gt;"&amp;判定基準!$B$35)</f>
        <v/>
      </c>
      <c r="V39" s="37">
        <f>COUNTIFS(案件管理!$AD$5:$AD$104,"&gt;="&amp;DATE(2027,2,1),案件管理!$AD$5:$AD$104,"&lt;"&amp;DATE(2027,3,1),案件管理!$AE$5:$AE$104,$A39)</f>
        <v/>
      </c>
      <c r="W39" s="37">
        <f>COUNTIFS(案件管理!$AD$5:$AD$104,"&gt;="&amp;DATE(2027,2,1),案件管理!$AD$5:$AD$104,"&lt;"&amp;DATE(2027,3,1),案件管理!$AE$5:$AE$104,$A39,案件管理!$F$5:$F$104,"&gt;="&amp;判定基準!$B$32,案件管理!$F$5:$F$104,"&lt;="&amp;判定基準!$B$33,案件管理!$G$5:$G$104,"&lt;="&amp;判定基準!$B$34,案件管理!$D$5:$D$104,"&lt;&gt;"&amp;判定基準!$B$35)</f>
        <v/>
      </c>
      <c r="X39" s="37">
        <f>COUNTIFS(案件管理!$AD$5:$AD$104,"&gt;="&amp;DATE(2027,3,1),案件管理!$AD$5:$AD$104,"&lt;"&amp;DATE(2027,4,1),案件管理!$AE$5:$AE$104,$A39)</f>
        <v/>
      </c>
      <c r="Y39" s="37">
        <f>COUNTIFS(案件管理!$AD$5:$AD$104,"&gt;="&amp;DATE(2027,3,1),案件管理!$AD$5:$AD$104,"&lt;"&amp;DATE(2027,4,1),案件管理!$AE$5:$AE$104,$A39,案件管理!$F$5:$F$104,"&gt;="&amp;判定基準!$B$32,案件管理!$F$5:$F$104,"&lt;="&amp;判定基準!$B$33,案件管理!$G$5:$G$104,"&lt;="&amp;判定基準!$B$34,案件管理!$D$5:$D$104,"&lt;&gt;"&amp;判定基準!$B$35)</f>
        <v/>
      </c>
      <c r="Z39" s="37">
        <f>COUNTIFS(案件管理!$AD$5:$AD$104,"&gt;="&amp;DATE(2027,4,1),案件管理!$AD$5:$AD$104,"&lt;"&amp;DATE(2027,5,1),案件管理!$AE$5:$AE$104,$A39)</f>
        <v/>
      </c>
      <c r="AA39" s="37">
        <f>COUNTIFS(案件管理!$AD$5:$AD$104,"&gt;="&amp;DATE(2027,4,1),案件管理!$AD$5:$AD$104,"&lt;"&amp;DATE(2027,5,1),案件管理!$AE$5:$AE$104,$A39,案件管理!$F$5:$F$104,"&gt;="&amp;判定基準!$B$32,案件管理!$F$5:$F$104,"&lt;="&amp;判定基準!$B$33,案件管理!$G$5:$G$104,"&lt;="&amp;判定基準!$B$34,案件管理!$D$5:$D$104,"&lt;&gt;"&amp;判定基準!$B$35)</f>
        <v/>
      </c>
      <c r="AB39" s="37">
        <f>COUNTIFS(案件管理!$AD$5:$AD$104,"&gt;="&amp;DATE(2027,5,1),案件管理!$AD$5:$AD$104,"&lt;"&amp;DATE(2027,6,1),案件管理!$AE$5:$AE$104,$A39)</f>
        <v/>
      </c>
      <c r="AC39" s="37">
        <f>COUNTIFS(案件管理!$AD$5:$AD$104,"&gt;="&amp;DATE(2027,5,1),案件管理!$AD$5:$AD$104,"&lt;"&amp;DATE(2027,6,1),案件管理!$AE$5:$AE$104,$A39,案件管理!$F$5:$F$104,"&gt;="&amp;判定基準!$B$32,案件管理!$F$5:$F$104,"&lt;="&amp;判定基準!$B$33,案件管理!$G$5:$G$104,"&lt;="&amp;判定基準!$B$34,案件管理!$D$5:$D$104,"&lt;&gt;"&amp;判定基準!$B$35)</f>
        <v/>
      </c>
      <c r="AD39" s="37">
        <f>COUNTIFS(案件管理!$AD$5:$AD$104,"&gt;="&amp;DATE(2027,6,1),案件管理!$AD$5:$AD$104,"&lt;"&amp;DATE(2027,7,1),案件管理!$AE$5:$AE$104,$A39)</f>
        <v/>
      </c>
      <c r="AE39" s="37">
        <f>COUNTIFS(案件管理!$AD$5:$AD$104,"&gt;="&amp;DATE(2027,6,1),案件管理!$AD$5:$AD$104,"&lt;"&amp;DATE(2027,7,1),案件管理!$AE$5:$AE$104,$A39,案件管理!$F$5:$F$104,"&gt;="&amp;判定基準!$B$32,案件管理!$F$5:$F$104,"&lt;="&amp;判定基準!$B$33,案件管理!$G$5:$G$104,"&lt;="&amp;判定基準!$B$34,案件管理!$D$5:$D$104,"&lt;&gt;"&amp;判定基準!$B$35)</f>
        <v/>
      </c>
      <c r="AF39" s="37">
        <f>COUNTIFS(案件管理!$AD$5:$AD$104,"&gt;="&amp;DATE(2027,7,1),案件管理!$AD$5:$AD$104,"&lt;"&amp;DATE(2027,8,1),案件管理!$AE$5:$AE$104,$A39)</f>
        <v/>
      </c>
      <c r="AG39" s="37">
        <f>COUNTIFS(案件管理!$AD$5:$AD$104,"&gt;="&amp;DATE(2027,7,1),案件管理!$AD$5:$AD$104,"&lt;"&amp;DATE(2027,8,1),案件管理!$AE$5:$AE$104,$A39,案件管理!$F$5:$F$104,"&gt;="&amp;判定基準!$B$32,案件管理!$F$5:$F$104,"&lt;="&amp;判定基準!$B$33,案件管理!$G$5:$G$104,"&lt;="&amp;判定基準!$B$34,案件管理!$D$5:$D$104,"&lt;&gt;"&amp;判定基準!$B$35)</f>
        <v/>
      </c>
      <c r="AH39" s="37">
        <f>COUNTIFS(案件管理!$AD$5:$AD$104,"&gt;="&amp;DATE(2027,8,1),案件管理!$AD$5:$AD$104,"&lt;"&amp;DATE(2027,9,1),案件管理!$AE$5:$AE$104,$A39)</f>
        <v/>
      </c>
      <c r="AI39" s="37">
        <f>COUNTIFS(案件管理!$AD$5:$AD$104,"&gt;="&amp;DATE(2027,8,1),案件管理!$AD$5:$AD$104,"&lt;"&amp;DATE(2027,9,1),案件管理!$AE$5:$AE$104,$A39,案件管理!$F$5:$F$104,"&gt;="&amp;判定基準!$B$32,案件管理!$F$5:$F$104,"&lt;="&amp;判定基準!$B$33,案件管理!$G$5:$G$104,"&lt;="&amp;判定基準!$B$34,案件管理!$D$5:$D$104,"&lt;&gt;"&amp;判定基準!$B$35)</f>
        <v/>
      </c>
      <c r="AJ39" s="37">
        <f>L39+N39+P39+R39+T39+V39+X39+Z39+AB39+AD39+AF39+AH39</f>
        <v/>
      </c>
      <c r="AK39" s="37">
        <f>M39+O39+Q39+S39+U39+W39+Y39+AA39+AC39+AE39+AG39+AI39</f>
        <v/>
      </c>
      <c r="AL39" s="38">
        <f>IF(AJ39=0,"",AK39/AJ39)</f>
        <v/>
      </c>
    </row>
    <row r="40">
      <c r="A40" s="23" t="inlineStr">
        <is>
          <t>株式会社経営承継支援</t>
        </is>
      </c>
      <c r="B40" s="17" t="n"/>
      <c r="C40" s="23" t="inlineStr">
        <is>
          <t>B</t>
        </is>
      </c>
      <c r="D40" s="23" t="n"/>
      <c r="E40" s="22" t="n">
        <v>46281</v>
      </c>
      <c r="F40" s="23" t="n"/>
      <c r="G40" s="20" t="n"/>
      <c r="H40" s="23" t="n"/>
      <c r="I40" s="23" t="n"/>
      <c r="J40" s="23" t="n"/>
      <c r="K40" s="23" t="n"/>
      <c r="L40" s="37">
        <f>COUNTIFS(案件管理!$AD$5:$AD$104,"&gt;="&amp;DATE(2026,9,1),案件管理!$AD$5:$AD$104,"&lt;"&amp;DATE(2026,10,1),案件管理!$AE$5:$AE$104,$A40)</f>
        <v/>
      </c>
      <c r="M40" s="37">
        <f>COUNTIFS(案件管理!$AD$5:$AD$104,"&gt;="&amp;DATE(2026,9,1),案件管理!$AD$5:$AD$104,"&lt;"&amp;DATE(2026,10,1),案件管理!$AE$5:$AE$104,$A40,案件管理!$F$5:$F$104,"&gt;="&amp;判定基準!$B$32,案件管理!$F$5:$F$104,"&lt;="&amp;判定基準!$B$33,案件管理!$G$5:$G$104,"&lt;="&amp;判定基準!$B$34,案件管理!$D$5:$D$104,"&lt;&gt;"&amp;判定基準!$B$35)</f>
        <v/>
      </c>
      <c r="N40" s="37">
        <f>COUNTIFS(案件管理!$AD$5:$AD$104,"&gt;="&amp;DATE(2026,10,1),案件管理!$AD$5:$AD$104,"&lt;"&amp;DATE(2026,11,1),案件管理!$AE$5:$AE$104,$A40)</f>
        <v/>
      </c>
      <c r="O40" s="37">
        <f>COUNTIFS(案件管理!$AD$5:$AD$104,"&gt;="&amp;DATE(2026,10,1),案件管理!$AD$5:$AD$104,"&lt;"&amp;DATE(2026,11,1),案件管理!$AE$5:$AE$104,$A40,案件管理!$F$5:$F$104,"&gt;="&amp;判定基準!$B$32,案件管理!$F$5:$F$104,"&lt;="&amp;判定基準!$B$33,案件管理!$G$5:$G$104,"&lt;="&amp;判定基準!$B$34,案件管理!$D$5:$D$104,"&lt;&gt;"&amp;判定基準!$B$35)</f>
        <v/>
      </c>
      <c r="P40" s="37">
        <f>COUNTIFS(案件管理!$AD$5:$AD$104,"&gt;="&amp;DATE(2026,11,1),案件管理!$AD$5:$AD$104,"&lt;"&amp;DATE(2026,12,1),案件管理!$AE$5:$AE$104,$A40)</f>
        <v/>
      </c>
      <c r="Q40" s="37">
        <f>COUNTIFS(案件管理!$AD$5:$AD$104,"&gt;="&amp;DATE(2026,11,1),案件管理!$AD$5:$AD$104,"&lt;"&amp;DATE(2026,12,1),案件管理!$AE$5:$AE$104,$A40,案件管理!$F$5:$F$104,"&gt;="&amp;判定基準!$B$32,案件管理!$F$5:$F$104,"&lt;="&amp;判定基準!$B$33,案件管理!$G$5:$G$104,"&lt;="&amp;判定基準!$B$34,案件管理!$D$5:$D$104,"&lt;&gt;"&amp;判定基準!$B$35)</f>
        <v/>
      </c>
      <c r="R40" s="37">
        <f>COUNTIFS(案件管理!$AD$5:$AD$104,"&gt;="&amp;DATE(2026,12,1),案件管理!$AD$5:$AD$104,"&lt;"&amp;DATE(2027,1,1),案件管理!$AE$5:$AE$104,$A40)</f>
        <v/>
      </c>
      <c r="S40" s="37">
        <f>COUNTIFS(案件管理!$AD$5:$AD$104,"&gt;="&amp;DATE(2026,12,1),案件管理!$AD$5:$AD$104,"&lt;"&amp;DATE(2027,1,1),案件管理!$AE$5:$AE$104,$A40,案件管理!$F$5:$F$104,"&gt;="&amp;判定基準!$B$32,案件管理!$F$5:$F$104,"&lt;="&amp;判定基準!$B$33,案件管理!$G$5:$G$104,"&lt;="&amp;判定基準!$B$34,案件管理!$D$5:$D$104,"&lt;&gt;"&amp;判定基準!$B$35)</f>
        <v/>
      </c>
      <c r="T40" s="37">
        <f>COUNTIFS(案件管理!$AD$5:$AD$104,"&gt;="&amp;DATE(2027,1,1),案件管理!$AD$5:$AD$104,"&lt;"&amp;DATE(2027,2,1),案件管理!$AE$5:$AE$104,$A40)</f>
        <v/>
      </c>
      <c r="U40" s="37">
        <f>COUNTIFS(案件管理!$AD$5:$AD$104,"&gt;="&amp;DATE(2027,1,1),案件管理!$AD$5:$AD$104,"&lt;"&amp;DATE(2027,2,1),案件管理!$AE$5:$AE$104,$A40,案件管理!$F$5:$F$104,"&gt;="&amp;判定基準!$B$32,案件管理!$F$5:$F$104,"&lt;="&amp;判定基準!$B$33,案件管理!$G$5:$G$104,"&lt;="&amp;判定基準!$B$34,案件管理!$D$5:$D$104,"&lt;&gt;"&amp;判定基準!$B$35)</f>
        <v/>
      </c>
      <c r="V40" s="37">
        <f>COUNTIFS(案件管理!$AD$5:$AD$104,"&gt;="&amp;DATE(2027,2,1),案件管理!$AD$5:$AD$104,"&lt;"&amp;DATE(2027,3,1),案件管理!$AE$5:$AE$104,$A40)</f>
        <v/>
      </c>
      <c r="W40" s="37">
        <f>COUNTIFS(案件管理!$AD$5:$AD$104,"&gt;="&amp;DATE(2027,2,1),案件管理!$AD$5:$AD$104,"&lt;"&amp;DATE(2027,3,1),案件管理!$AE$5:$AE$104,$A40,案件管理!$F$5:$F$104,"&gt;="&amp;判定基準!$B$32,案件管理!$F$5:$F$104,"&lt;="&amp;判定基準!$B$33,案件管理!$G$5:$G$104,"&lt;="&amp;判定基準!$B$34,案件管理!$D$5:$D$104,"&lt;&gt;"&amp;判定基準!$B$35)</f>
        <v/>
      </c>
      <c r="X40" s="37">
        <f>COUNTIFS(案件管理!$AD$5:$AD$104,"&gt;="&amp;DATE(2027,3,1),案件管理!$AD$5:$AD$104,"&lt;"&amp;DATE(2027,4,1),案件管理!$AE$5:$AE$104,$A40)</f>
        <v/>
      </c>
      <c r="Y40" s="37">
        <f>COUNTIFS(案件管理!$AD$5:$AD$104,"&gt;="&amp;DATE(2027,3,1),案件管理!$AD$5:$AD$104,"&lt;"&amp;DATE(2027,4,1),案件管理!$AE$5:$AE$104,$A40,案件管理!$F$5:$F$104,"&gt;="&amp;判定基準!$B$32,案件管理!$F$5:$F$104,"&lt;="&amp;判定基準!$B$33,案件管理!$G$5:$G$104,"&lt;="&amp;判定基準!$B$34,案件管理!$D$5:$D$104,"&lt;&gt;"&amp;判定基準!$B$35)</f>
        <v/>
      </c>
      <c r="Z40" s="37">
        <f>COUNTIFS(案件管理!$AD$5:$AD$104,"&gt;="&amp;DATE(2027,4,1),案件管理!$AD$5:$AD$104,"&lt;"&amp;DATE(2027,5,1),案件管理!$AE$5:$AE$104,$A40)</f>
        <v/>
      </c>
      <c r="AA40" s="37">
        <f>COUNTIFS(案件管理!$AD$5:$AD$104,"&gt;="&amp;DATE(2027,4,1),案件管理!$AD$5:$AD$104,"&lt;"&amp;DATE(2027,5,1),案件管理!$AE$5:$AE$104,$A40,案件管理!$F$5:$F$104,"&gt;="&amp;判定基準!$B$32,案件管理!$F$5:$F$104,"&lt;="&amp;判定基準!$B$33,案件管理!$G$5:$G$104,"&lt;="&amp;判定基準!$B$34,案件管理!$D$5:$D$104,"&lt;&gt;"&amp;判定基準!$B$35)</f>
        <v/>
      </c>
      <c r="AB40" s="37">
        <f>COUNTIFS(案件管理!$AD$5:$AD$104,"&gt;="&amp;DATE(2027,5,1),案件管理!$AD$5:$AD$104,"&lt;"&amp;DATE(2027,6,1),案件管理!$AE$5:$AE$104,$A40)</f>
        <v/>
      </c>
      <c r="AC40" s="37">
        <f>COUNTIFS(案件管理!$AD$5:$AD$104,"&gt;="&amp;DATE(2027,5,1),案件管理!$AD$5:$AD$104,"&lt;"&amp;DATE(2027,6,1),案件管理!$AE$5:$AE$104,$A40,案件管理!$F$5:$F$104,"&gt;="&amp;判定基準!$B$32,案件管理!$F$5:$F$104,"&lt;="&amp;判定基準!$B$33,案件管理!$G$5:$G$104,"&lt;="&amp;判定基準!$B$34,案件管理!$D$5:$D$104,"&lt;&gt;"&amp;判定基準!$B$35)</f>
        <v/>
      </c>
      <c r="AD40" s="37">
        <f>COUNTIFS(案件管理!$AD$5:$AD$104,"&gt;="&amp;DATE(2027,6,1),案件管理!$AD$5:$AD$104,"&lt;"&amp;DATE(2027,7,1),案件管理!$AE$5:$AE$104,$A40)</f>
        <v/>
      </c>
      <c r="AE40" s="37">
        <f>COUNTIFS(案件管理!$AD$5:$AD$104,"&gt;="&amp;DATE(2027,6,1),案件管理!$AD$5:$AD$104,"&lt;"&amp;DATE(2027,7,1),案件管理!$AE$5:$AE$104,$A40,案件管理!$F$5:$F$104,"&gt;="&amp;判定基準!$B$32,案件管理!$F$5:$F$104,"&lt;="&amp;判定基準!$B$33,案件管理!$G$5:$G$104,"&lt;="&amp;判定基準!$B$34,案件管理!$D$5:$D$104,"&lt;&gt;"&amp;判定基準!$B$35)</f>
        <v/>
      </c>
      <c r="AF40" s="37">
        <f>COUNTIFS(案件管理!$AD$5:$AD$104,"&gt;="&amp;DATE(2027,7,1),案件管理!$AD$5:$AD$104,"&lt;"&amp;DATE(2027,8,1),案件管理!$AE$5:$AE$104,$A40)</f>
        <v/>
      </c>
      <c r="AG40" s="37">
        <f>COUNTIFS(案件管理!$AD$5:$AD$104,"&gt;="&amp;DATE(2027,7,1),案件管理!$AD$5:$AD$104,"&lt;"&amp;DATE(2027,8,1),案件管理!$AE$5:$AE$104,$A40,案件管理!$F$5:$F$104,"&gt;="&amp;判定基準!$B$32,案件管理!$F$5:$F$104,"&lt;="&amp;判定基準!$B$33,案件管理!$G$5:$G$104,"&lt;="&amp;判定基準!$B$34,案件管理!$D$5:$D$104,"&lt;&gt;"&amp;判定基準!$B$35)</f>
        <v/>
      </c>
      <c r="AH40" s="37">
        <f>COUNTIFS(案件管理!$AD$5:$AD$104,"&gt;="&amp;DATE(2027,8,1),案件管理!$AD$5:$AD$104,"&lt;"&amp;DATE(2027,9,1),案件管理!$AE$5:$AE$104,$A40)</f>
        <v/>
      </c>
      <c r="AI40" s="37">
        <f>COUNTIFS(案件管理!$AD$5:$AD$104,"&gt;="&amp;DATE(2027,8,1),案件管理!$AD$5:$AD$104,"&lt;"&amp;DATE(2027,9,1),案件管理!$AE$5:$AE$104,$A40,案件管理!$F$5:$F$104,"&gt;="&amp;判定基準!$B$32,案件管理!$F$5:$F$104,"&lt;="&amp;判定基準!$B$33,案件管理!$G$5:$G$104,"&lt;="&amp;判定基準!$B$34,案件管理!$D$5:$D$104,"&lt;&gt;"&amp;判定基準!$B$35)</f>
        <v/>
      </c>
      <c r="AJ40" s="37">
        <f>L40+N40+P40+R40+T40+V40+X40+Z40+AB40+AD40+AF40+AH40</f>
        <v/>
      </c>
      <c r="AK40" s="37">
        <f>M40+O40+Q40+S40+U40+W40+Y40+AA40+AC40+AE40+AG40+AI40</f>
        <v/>
      </c>
      <c r="AL40" s="38">
        <f>IF(AJ40=0,"",AK40/AJ40)</f>
        <v/>
      </c>
    </row>
  </sheetData>
  <mergeCells count="27">
    <mergeCell ref="L2:M2"/>
    <mergeCell ref="V2:W2"/>
    <mergeCell ref="X2:Y2"/>
    <mergeCell ref="B2:B3"/>
    <mergeCell ref="D2:D3"/>
    <mergeCell ref="F2:F3"/>
    <mergeCell ref="H2:H3"/>
    <mergeCell ref="N2:O2"/>
    <mergeCell ref="P2:Q2"/>
    <mergeCell ref="A1:AL1"/>
    <mergeCell ref="A2:A3"/>
    <mergeCell ref="C2:C3"/>
    <mergeCell ref="E2:E3"/>
    <mergeCell ref="K2:K3"/>
    <mergeCell ref="T2:U2"/>
    <mergeCell ref="Z2:AA2"/>
    <mergeCell ref="AB2:AC2"/>
    <mergeCell ref="AD2:AE2"/>
    <mergeCell ref="AF2:AG2"/>
    <mergeCell ref="J2:J3"/>
    <mergeCell ref="AK2:AK3"/>
    <mergeCell ref="AH2:AI2"/>
    <mergeCell ref="R2:S2"/>
    <mergeCell ref="G2:G3"/>
    <mergeCell ref="AJ2:AJ3"/>
    <mergeCell ref="I2:I3"/>
    <mergeCell ref="AL2:AL3"/>
  </mergeCells>
  <conditionalFormatting sqref="C5:C40">
    <cfRule type="expression" priority="1" dxfId="0">
      <formula>EXACT(C5,"A")</formula>
    </cfRule>
  </conditionalFormatting>
  <dataValidations count="1">
    <dataValidation sqref="C5 C6 C7 C8 C9 C10 C11 C12 C13 C14 C15 C16 C17 C18 C19 C20 C21 C22 C23 C24 C25 C26 C27 C28 C29 C30 C31 C32 C33 C34 C35 C36 C37 C38 C39 C40" showDropDown="0" showInputMessage="0" showErrorMessage="0" allowBlank="1" type="list">
      <formula1>"A,B,C"</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30" customWidth="1" min="1" max="1"/>
    <col width="24" customWidth="1" min="2" max="2"/>
    <col width="30" customWidth="1" min="3" max="3"/>
    <col width="30" customWidth="1" min="4" max="4"/>
    <col width="34" customWidth="1" min="5" max="5"/>
    <col width="7" customWidth="1" min="6" max="6"/>
  </cols>
  <sheetData>
    <row r="1">
      <c r="A1" s="1" t="inlineStr">
        <is>
          <t>判定基準（青塗り12項目のルーブリック抜粋）</t>
        </is>
      </c>
    </row>
    <row r="2">
      <c r="A2" s="2" t="inlineStr">
        <is>
          <t>正本は .claude/skills/deal-screening/references/rubric.md。ここは参照用の写しなので、閾値を変えるときは rubric.md と両方直すこと。</t>
        </is>
      </c>
    </row>
    <row r="4">
      <c r="A4" s="39" t="inlineStr">
        <is>
          <t>No</t>
        </is>
      </c>
      <c r="B4" s="39" t="inlineStr">
        <is>
          <t>評価軸</t>
        </is>
      </c>
      <c r="C4" s="39" t="inlineStr">
        <is>
          <t>◯</t>
        </is>
      </c>
      <c r="D4" s="39" t="inlineStr">
        <is>
          <t>△</t>
        </is>
      </c>
      <c r="E4" s="39" t="inlineStr">
        <is>
          <t>×</t>
        </is>
      </c>
      <c r="F4" s="39" t="inlineStr">
        <is>
          <t>Must</t>
        </is>
      </c>
    </row>
    <row r="5">
      <c r="A5" s="40" t="inlineStr">
        <is>
          <t>1-1</t>
        </is>
      </c>
      <c r="B5" s="40" t="inlineStr">
        <is>
          <t>業種ターゲットとの整合</t>
        </is>
      </c>
      <c r="C5" s="40" t="inlineStr">
        <is>
          <t>重点業種①②③に直接該当</t>
        </is>
      </c>
      <c r="D5" s="40" t="inlineStr">
        <is>
          <t>追加B群（罠を回避できる形）</t>
        </is>
      </c>
      <c r="E5" s="40" t="inlineStr">
        <is>
          <t>NG業種7カテゴリ／追加C群</t>
        </is>
      </c>
      <c r="F5" s="40" t="inlineStr">
        <is>
          <t>★</t>
        </is>
      </c>
    </row>
    <row r="6">
      <c r="A6" s="40" t="inlineStr">
        <is>
          <t>1-2</t>
        </is>
      </c>
      <c r="B6" s="40" t="inlineStr">
        <is>
          <t>TE拠出額4億円以下</t>
        </is>
      </c>
      <c r="C6" s="40" t="inlineStr">
        <is>
          <t>3.0億円以下</t>
        </is>
      </c>
      <c r="D6" s="40" t="inlineStr">
        <is>
          <t>4.0〜4.5億円</t>
        </is>
      </c>
      <c r="E6" s="40" t="inlineStr">
        <is>
          <t>5.0億円超</t>
        </is>
      </c>
      <c r="F6" s="40" t="inlineStr">
        <is>
          <t>★</t>
        </is>
      </c>
    </row>
    <row r="7">
      <c r="A7" s="40" t="inlineStr">
        <is>
          <t>1-3</t>
        </is>
      </c>
      <c r="B7" s="40" t="inlineStr">
        <is>
          <t>非キャッシュ性資産</t>
        </is>
      </c>
      <c r="C7" s="40" t="inlineStr">
        <is>
          <t>EBITDA比2.0倍以下</t>
        </is>
      </c>
      <c r="D7" s="40" t="inlineStr">
        <is>
          <t>3.0〜5.0倍</t>
        </is>
      </c>
      <c r="E7" s="40" t="inlineStr">
        <is>
          <t>8.0倍超／装置産業・不動産主体</t>
        </is>
      </c>
      <c r="F7" s="40" t="inlineStr"/>
    </row>
    <row r="8">
      <c r="A8" s="40" t="inlineStr">
        <is>
          <t>2</t>
        </is>
      </c>
      <c r="B8" s="40" t="inlineStr">
        <is>
          <t>安定黒字か</t>
        </is>
      </c>
      <c r="C8" s="40" t="inlineStr">
        <is>
          <t>3期連続黒字かつ増加基調</t>
        </is>
      </c>
      <c r="D8" s="40" t="inlineStr">
        <is>
          <t>3期黒字だが直近▲20%以上</t>
        </is>
      </c>
      <c r="E8" s="40" t="inlineStr">
        <is>
          <t>2期以上赤字／実態調整後に直近赤字</t>
        </is>
      </c>
      <c r="F8" s="40" t="inlineStr">
        <is>
          <t>★</t>
        </is>
      </c>
    </row>
    <row r="9">
      <c r="A9" s="40" t="inlineStr">
        <is>
          <t>3</t>
        </is>
      </c>
      <c r="B9" s="40" t="inlineStr">
        <is>
          <t>付加価値は高いか</t>
        </is>
      </c>
      <c r="C9" s="40" t="inlineStr">
        <is>
          <t>3期すべて粗利率30%以上</t>
        </is>
      </c>
      <c r="D9" s="40" t="inlineStr">
        <is>
          <t>3期平均25〜30%</t>
        </is>
      </c>
      <c r="E9" s="40" t="inlineStr">
        <is>
          <t>3期平均20%未満／3期で5pt以上低下</t>
        </is>
      </c>
      <c r="F9" s="40" t="inlineStr"/>
    </row>
    <row r="10">
      <c r="A10" s="40" t="inlineStr">
        <is>
          <t>4</t>
        </is>
      </c>
      <c r="B10" s="40" t="inlineStr">
        <is>
          <t>永続性は高いか</t>
        </is>
      </c>
      <c r="C10" s="40" t="inlineStr">
        <is>
          <t>人口動態・法定需要が後押し</t>
        </is>
      </c>
      <c r="D10" s="40" t="inlineStr">
        <is>
          <t>横ばい・代替技術の影響が読めない</t>
        </is>
      </c>
      <c r="E10" s="40" t="inlineStr">
        <is>
          <t>10年で構造的に消える</t>
        </is>
      </c>
      <c r="F10" s="40" t="inlineStr"/>
    </row>
    <row r="11">
      <c r="A11" s="40" t="inlineStr">
        <is>
          <t>5</t>
        </is>
      </c>
      <c r="B11" s="40" t="inlineStr">
        <is>
          <t>価格は割高ではないか</t>
        </is>
      </c>
      <c r="C11" s="40" t="inlineStr">
        <is>
          <t>②5.0倍以下</t>
        </is>
      </c>
      <c r="D11" s="40" t="inlineStr">
        <is>
          <t>②6.0〜7.0倍</t>
        </is>
      </c>
      <c r="E11" s="40" t="inlineStr">
        <is>
          <t>②8.0倍超</t>
        </is>
      </c>
      <c r="F11" s="40" t="inlineStr">
        <is>
          <t>★</t>
        </is>
      </c>
    </row>
    <row r="12">
      <c r="A12" s="40" t="inlineStr">
        <is>
          <t>8-1</t>
        </is>
      </c>
      <c r="B12" s="40" t="inlineStr">
        <is>
          <t>ストック型かフロー型か</t>
        </is>
      </c>
      <c r="C12" s="40" t="inlineStr">
        <is>
          <t>ストック比率70%以上</t>
        </is>
      </c>
      <c r="D12" s="40" t="inlineStr">
        <is>
          <t>リピート中心だが契約なし</t>
        </is>
      </c>
      <c r="E12" s="40" t="inlineStr">
        <is>
          <t>スポット・案件単位が主</t>
        </is>
      </c>
      <c r="F12" s="40" t="inlineStr"/>
    </row>
    <row r="13">
      <c r="A13" s="40" t="inlineStr">
        <is>
          <t>8-2</t>
        </is>
      </c>
      <c r="B13" s="40" t="inlineStr">
        <is>
          <t>流行り廃りはあるか</t>
        </is>
      </c>
      <c r="C13" s="40" t="inlineStr">
        <is>
          <t>生活必需・法定需要</t>
        </is>
      </c>
      <c r="D13" s="40" t="inlineStr">
        <is>
          <t>一部商材がトレンド依存</t>
        </is>
      </c>
      <c r="E13" s="40" t="inlineStr">
        <is>
          <t>嗜好・流行・立地が売上を左右</t>
        </is>
      </c>
      <c r="F13" s="40" t="inlineStr"/>
    </row>
    <row r="14">
      <c r="A14" s="40" t="inlineStr">
        <is>
          <t>9</t>
        </is>
      </c>
      <c r="B14" s="40" t="inlineStr">
        <is>
          <t>売却理由</t>
        </is>
      </c>
      <c r="C14" s="40" t="inlineStr">
        <is>
          <t>高齢・後継者不在で業績と整合</t>
        </is>
      </c>
      <c r="D14" s="40" t="inlineStr">
        <is>
          <t>理由は一般的だが裏付け不足</t>
        </is>
      </c>
      <c r="E14" s="40" t="inlineStr">
        <is>
          <t>業績悪化・係争・簿外債務の兆候と符合</t>
        </is>
      </c>
      <c r="F14" s="40" t="inlineStr"/>
    </row>
    <row r="15">
      <c r="A15" s="40" t="inlineStr">
        <is>
          <t>11</t>
        </is>
      </c>
      <c r="B15" s="40" t="inlineStr">
        <is>
          <t>特定取引先に依存していないか</t>
        </is>
      </c>
      <c r="C15" s="40" t="inlineStr">
        <is>
          <t>上位1社10%未満</t>
        </is>
      </c>
      <c r="D15" s="40" t="inlineStr">
        <is>
          <t>20〜30%</t>
        </is>
      </c>
      <c r="E15" s="40" t="inlineStr">
        <is>
          <t>50%以上／代替不能な単一発注先</t>
        </is>
      </c>
      <c r="F15" s="40" t="inlineStr"/>
    </row>
    <row r="16">
      <c r="A16" s="40" t="inlineStr">
        <is>
          <t>12</t>
        </is>
      </c>
      <c r="B16" s="40" t="inlineStr">
        <is>
          <t>特定人材に依存していないか</t>
        </is>
      </c>
      <c r="C16" s="40" t="inlineStr">
        <is>
          <t>社長不在でも運営可</t>
        </is>
      </c>
      <c r="D16" s="40" t="inlineStr">
        <is>
          <t>社長の営業依存（顧問就任で緩和）</t>
        </is>
      </c>
      <c r="E16" s="40" t="inlineStr">
        <is>
          <t>有資格者が社長のみ／職人依存</t>
        </is>
      </c>
      <c r="F16" s="40" t="inlineStr"/>
    </row>
    <row r="18">
      <c r="A18" s="41" t="inlineStr">
        <is>
          <t>総合判定</t>
        </is>
      </c>
    </row>
    <row r="19">
      <c r="A19" s="42" t="inlineStr">
        <is>
          <t>C：見送り</t>
        </is>
      </c>
      <c r="B19" s="42" t="inlineStr">
        <is>
          <t>Must項目（1-1・1-2・2・5）に×が1つ以上、または全体で×が2項目以上</t>
        </is>
      </c>
    </row>
    <row r="20">
      <c r="A20" s="42" t="inlineStr">
        <is>
          <t>A：進める</t>
        </is>
      </c>
      <c r="B20" s="42" t="inlineStr">
        <is>
          <t>×ゼロ、かつ達成率75%以上（達成率＝得点÷(判定済×2)）</t>
        </is>
      </c>
    </row>
    <row r="21">
      <c r="A21" s="42" t="inlineStr">
        <is>
          <t>B：追加情報</t>
        </is>
      </c>
      <c r="B21" s="42" t="inlineStr">
        <is>
          <t>上記以外。判定済が6項目未満のときは達成率に関わらずB</t>
        </is>
      </c>
    </row>
    <row r="23">
      <c r="A23" s="41" t="inlineStr">
        <is>
          <t>スコア</t>
        </is>
      </c>
      <c r="B23" s="42" t="inlineStr">
        <is>
          <t>◯2.0／△〜◯1.5／△1.0／×〜△0.5／×0。－は判定不能で、加算も達成率の分母もしない。</t>
        </is>
      </c>
    </row>
    <row r="25">
      <c r="A25" s="41" t="inlineStr">
        <is>
          <t>売上目安</t>
        </is>
      </c>
      <c r="B25" s="42" t="inlineStr">
        <is>
          <t>300〜3,000百万円（投資条件友井タブ No.20／仲介向け資料P10）。青塗り外の項目なので◯△×には算入せず、範囲内かの表示のみ。</t>
        </is>
      </c>
    </row>
    <row r="27">
      <c r="A27" s="41" t="inlineStr">
        <is>
          <t>EV/EBITDAの閾値</t>
        </is>
      </c>
      <c r="B27" s="42" t="inlineStr">
        <is>
          <t>投資条件タブ7倍／投資条件友井タブ5倍／仲介向け資料6倍と3資料で異なるため、◯=5倍以下・△=7倍以下・×=8倍超の段階評価に畳んでいる。統一の決定が出たら直すこと。</t>
        </is>
      </c>
    </row>
    <row r="30">
      <c r="A30" s="1" t="inlineStr">
        <is>
          <t>条件合致の判定パラメータ</t>
        </is>
      </c>
    </row>
    <row r="31">
      <c r="A31" s="2" t="inlineStr">
        <is>
          <t>仲介会社管理シートの「条件合致案件数」は、この4つのしきい値で案件管理タブを数えている。ここを直せば36社×12ヶ月すべてに効く。</t>
        </is>
      </c>
    </row>
    <row r="32">
      <c r="A32" s="42" t="inlineStr">
        <is>
          <t>実態EBITDA 下限（百万円）</t>
        </is>
      </c>
      <c r="B32" s="43" t="n">
        <v>50</v>
      </c>
      <c r="C32" s="2" t="inlineStr">
        <is>
          <t>投資条件：調整後EBITDA 5,000万〜4億円</t>
        </is>
      </c>
    </row>
    <row r="33">
      <c r="A33" s="42" t="inlineStr">
        <is>
          <t>実態EBITDA 上限（百万円）</t>
        </is>
      </c>
      <c r="B33" s="43" t="n">
        <v>400</v>
      </c>
      <c r="C33" s="2" t="inlineStr">
        <is>
          <t>同上</t>
        </is>
      </c>
    </row>
    <row r="34">
      <c r="A34" s="42" t="inlineStr">
        <is>
          <t>EV/EBITDAマルチプル 上限（倍）</t>
        </is>
      </c>
      <c r="B34" s="43" t="n">
        <v>7</v>
      </c>
      <c r="C34" s="2" t="inlineStr">
        <is>
          <t>投資条件タブ No.5 の記載値。友井タブは5倍、仲介向け資料は6倍で不一致</t>
        </is>
      </c>
    </row>
    <row r="35">
      <c r="A35" s="42" t="inlineStr">
        <is>
          <t>除外する業種区分</t>
        </is>
      </c>
      <c r="B35" s="43" t="inlineStr">
        <is>
          <t>NG業種7カテゴリ</t>
        </is>
      </c>
      <c r="C35" s="2" t="inlineStr">
        <is>
          <t>案件管理タブの業種区分の値と完全一致させる</t>
        </is>
      </c>
    </row>
  </sheetData>
  <mergeCells count="11">
    <mergeCell ref="B23:E23"/>
    <mergeCell ref="B27:E27"/>
    <mergeCell ref="C33:E33"/>
    <mergeCell ref="B21:E21"/>
    <mergeCell ref="B25:E25"/>
    <mergeCell ref="C35:E35"/>
    <mergeCell ref="B19:E19"/>
    <mergeCell ref="B20:E20"/>
    <mergeCell ref="C34:E34"/>
    <mergeCell ref="A31:E31"/>
    <mergeCell ref="C32:E3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2"/>
  <sheetViews>
    <sheetView workbookViewId="0">
      <selection activeCell="A1" sqref="A1"/>
    </sheetView>
  </sheetViews>
  <sheetFormatPr baseColWidth="8" defaultRowHeight="15"/>
  <cols>
    <col width="34" customWidth="1" min="1" max="1"/>
    <col width="2" customWidth="1" min="2" max="2"/>
    <col width="16" customWidth="1" min="3" max="3"/>
    <col width="2" customWidth="1" min="4" max="4"/>
    <col width="8" customWidth="1" min="5" max="5"/>
    <col width="2" customWidth="1" min="6" max="6"/>
    <col width="18" customWidth="1" min="7" max="7"/>
    <col width="2" customWidth="1" min="8" max="8"/>
    <col width="24" customWidth="1" min="9" max="9"/>
    <col width="2" customWidth="1" min="10" max="10"/>
    <col width="10" customWidth="1" min="11" max="11"/>
    <col width="2" customWidth="1" min="12" max="12"/>
    <col width="16" customWidth="1" min="13" max="13"/>
  </cols>
  <sheetData>
    <row r="1">
      <c r="A1" s="1" t="inlineStr">
        <is>
          <t>選択肢（ドロップダウンの元データ）</t>
        </is>
      </c>
    </row>
    <row r="2">
      <c r="A2" s="44" t="inlineStr">
        <is>
          <t>業種区分</t>
        </is>
      </c>
      <c r="C2" s="44" t="inlineStr">
        <is>
          <t>ステータス</t>
        </is>
      </c>
      <c r="E2" s="44" t="inlineStr">
        <is>
          <t>評価</t>
        </is>
      </c>
      <c r="G2" s="44" t="inlineStr">
        <is>
          <t>服部判断</t>
        </is>
      </c>
      <c r="I2" s="44" t="inlineStr">
        <is>
          <t>質問の分類</t>
        </is>
      </c>
      <c r="K2" s="44" t="inlineStr">
        <is>
          <t>優先度</t>
        </is>
      </c>
      <c r="M2" s="44" t="inlineStr">
        <is>
          <t>質問の状態</t>
        </is>
      </c>
    </row>
    <row r="3">
      <c r="A3" s="42" t="inlineStr">
        <is>
          <t>重点①シニア</t>
        </is>
      </c>
      <c r="C3" s="42" t="inlineStr">
        <is>
          <t>未着手</t>
        </is>
      </c>
      <c r="E3" s="42" t="inlineStr">
        <is>
          <t>◯</t>
        </is>
      </c>
      <c r="G3" s="42" t="inlineStr">
        <is>
          <t>進める</t>
        </is>
      </c>
      <c r="I3" s="42" t="inlineStr">
        <is>
          <t>価格・バリュエーション</t>
        </is>
      </c>
      <c r="K3" s="42" t="inlineStr">
        <is>
          <t>必須</t>
        </is>
      </c>
      <c r="M3" s="42" t="inlineStr">
        <is>
          <t>未質問</t>
        </is>
      </c>
    </row>
    <row r="4">
      <c r="A4" s="42" t="inlineStr">
        <is>
          <t>重点②AI・DXで伸ばせる業種</t>
        </is>
      </c>
      <c r="C4" s="42" t="inlineStr">
        <is>
          <t>初期検討中</t>
        </is>
      </c>
      <c r="E4" s="42" t="inlineStr">
        <is>
          <t>△〜◯</t>
        </is>
      </c>
      <c r="G4" s="42" t="inlineStr">
        <is>
          <t>条件付きで進める</t>
        </is>
      </c>
      <c r="I4" s="42" t="inlineStr">
        <is>
          <t>財務・実態損益</t>
        </is>
      </c>
      <c r="K4" s="42" t="inlineStr">
        <is>
          <t>重要</t>
        </is>
      </c>
      <c r="M4" s="42" t="inlineStr">
        <is>
          <t>回答待ち</t>
        </is>
      </c>
    </row>
    <row r="5">
      <c r="A5" s="42" t="inlineStr">
        <is>
          <t>重点③エネルギー関連</t>
        </is>
      </c>
      <c r="C5" s="42" t="inlineStr">
        <is>
          <t>追加情報待ち</t>
        </is>
      </c>
      <c r="E5" s="42" t="inlineStr">
        <is>
          <t>△</t>
        </is>
      </c>
      <c r="G5" s="42" t="inlineStr">
        <is>
          <t>追加検討</t>
        </is>
      </c>
      <c r="I5" s="42" t="inlineStr">
        <is>
          <t>BS・運転資本</t>
        </is>
      </c>
      <c r="K5" s="42" t="inlineStr">
        <is>
          <t>確認</t>
        </is>
      </c>
      <c r="M5" s="42" t="inlineStr">
        <is>
          <t>回答済</t>
        </is>
      </c>
    </row>
    <row r="6">
      <c r="A6" s="42" t="inlineStr">
        <is>
          <t>追加A群（狙える逆張り）</t>
        </is>
      </c>
      <c r="C6" s="42" t="inlineStr">
        <is>
          <t>NDA締結</t>
        </is>
      </c>
      <c r="E6" s="42" t="inlineStr">
        <is>
          <t>×〜△</t>
        </is>
      </c>
      <c r="G6" s="42" t="inlineStr">
        <is>
          <t>見送り</t>
        </is>
      </c>
      <c r="I6" s="42" t="inlineStr">
        <is>
          <t>取引先・依存</t>
        </is>
      </c>
      <c r="M6" s="42" t="inlineStr">
        <is>
          <t>追加確認が必要</t>
        </is>
      </c>
    </row>
    <row r="7">
      <c r="A7" s="42" t="inlineStr">
        <is>
          <t>追加B群（化けるが罠が多い・要選別）</t>
        </is>
      </c>
      <c r="C7" s="42" t="inlineStr">
        <is>
          <t>トップ面談</t>
        </is>
      </c>
      <c r="E7" s="42" t="inlineStr">
        <is>
          <t>×</t>
        </is>
      </c>
      <c r="I7" s="42" t="inlineStr">
        <is>
          <t>人材・組織</t>
        </is>
      </c>
      <c r="M7" s="42" t="inlineStr">
        <is>
          <t>解決</t>
        </is>
      </c>
    </row>
    <row r="8">
      <c r="A8" s="42" t="inlineStr">
        <is>
          <t>追加C群（構造的にNG寄り・見送り推奨）</t>
        </is>
      </c>
      <c r="C8" s="42" t="inlineStr">
        <is>
          <t>意向表明</t>
        </is>
      </c>
      <c r="E8" s="42" t="inlineStr">
        <is>
          <t>－</t>
        </is>
      </c>
      <c r="I8" s="42" t="inlineStr">
        <is>
          <t>事業モデル・市場</t>
        </is>
      </c>
    </row>
    <row r="9">
      <c r="A9" s="42" t="inlineStr">
        <is>
          <t>NG業種7カテゴリ</t>
        </is>
      </c>
      <c r="C9" s="42" t="inlineStr">
        <is>
          <t>基本合意</t>
        </is>
      </c>
      <c r="I9" s="42" t="inlineStr">
        <is>
          <t>売却理由・売主</t>
        </is>
      </c>
    </row>
    <row r="10">
      <c r="A10" s="42" t="inlineStr">
        <is>
          <t>その他</t>
        </is>
      </c>
      <c r="C10" s="42" t="inlineStr">
        <is>
          <t>DD</t>
        </is>
      </c>
      <c r="I10" s="42" t="inlineStr">
        <is>
          <t>法務・許認可</t>
        </is>
      </c>
    </row>
    <row r="11">
      <c r="C11" s="42" t="inlineStr">
        <is>
          <t>最終契約</t>
        </is>
      </c>
      <c r="I11" s="42" t="inlineStr">
        <is>
          <t>事業所・不動産</t>
        </is>
      </c>
    </row>
    <row r="12">
      <c r="C12" s="42" t="inlineStr">
        <is>
          <t>クロージング</t>
        </is>
      </c>
      <c r="I12" s="42" t="inlineStr">
        <is>
          <t>スキーム・条件</t>
        </is>
      </c>
    </row>
    <row r="13">
      <c r="C13" s="42" t="inlineStr">
        <is>
          <t>見送り</t>
        </is>
      </c>
      <c r="I13" s="42" t="inlineStr">
        <is>
          <t>資料請求</t>
        </is>
      </c>
    </row>
    <row r="14">
      <c r="C14" s="42" t="inlineStr">
        <is>
          <t>先方都合で終了</t>
        </is>
      </c>
    </row>
    <row r="20">
      <c r="A20" s="26" t="inlineStr">
        <is>
          <t>仲介会社の一覧はここには置いていない。仲介会社管理シートのA列が唯一の正で、案件管理の仲介会社ドロップダウンはそこを直接参照している。会社を増やすときは仲介会社管理シートに行を足し、tools/build_pipeline.py の MED_LAST が指す範囲を広げること。</t>
        </is>
      </c>
    </row>
    <row r="21"/>
    <row r="22"/>
  </sheetData>
  <mergeCells count="1">
    <mergeCell ref="A20:M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2026-09-29T01:54:09Z</dcterms:created>
  <dcterms:modified xsi:type="dcterms:W3CDTF">2026-09-29T01:54:10Z</dcterms:modified>
</cp:coreProperties>
</file>